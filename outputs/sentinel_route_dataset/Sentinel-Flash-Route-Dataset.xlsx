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4e487bcf9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dge Summary" sheetId="1" r:id="R5fe7077fc0cb4131"/>
    <x:sheet xmlns:r="http://schemas.openxmlformats.org/officeDocument/2006/relationships" name="Recovery Options" sheetId="2" r:id="R4f62f6a14b1e4b57"/>
    <x:sheet xmlns:r="http://schemas.openxmlformats.org/officeDocument/2006/relationships" name="Route Data" sheetId="3" r:id="R1a4ff02e8ec64e72"/>
    <x:sheet xmlns:r="http://schemas.openxmlformats.org/officeDocument/2006/relationships" name="Methodology" sheetId="4" r:id="Rac26a05970bd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$#,##0"/>
    <x:numFmt numFmtId="202" formatCode="0"/>
    <x:numFmt numFmtId="203" formatCode="#,##0"/>
    <x:numFmt numFmtId="204" formatCode="yyyy-mm-dd hh:mm"/>
    <x:numFmt numFmtId="205" formatCode="0.0"/>
    <x:numFmt numFmtId="206" formatCode="#,##0.0"/>
  </x:numFmts>
  <x:fonts count="10">
    <x:font>
      <x:sz val="11"/>
      <x:name val="Carlito"/>
    </x:font>
    <x:font>
      <x:b/>
      <x:sz val="15"/>
      <x:color rgb="FF10212B"/>
      <x:name val="Arial"/>
    </x:font>
    <x:font>
      <x:i/>
      <x:sz val="10"/>
      <x:color rgb="FF667781"/>
      <x:name val="Arial"/>
    </x:font>
    <x:font>
      <x:b/>
      <x:sz val="10"/>
      <x:color rgb="FFFFFFFF"/>
      <x:name val="Arial"/>
    </x:font>
    <x:font>
      <x:sz val="10"/>
      <x:color rgb="FF10212B"/>
      <x:name val="Arial"/>
    </x:font>
    <x:font>
      <x:b/>
      <x:sz val="16"/>
      <x:color rgb="FF10212B"/>
      <x:name val="Arial"/>
    </x:font>
    <x:font>
      <x:b/>
      <x:sz val="15"/>
      <x:color rgb="FF16A085"/>
      <x:name val="Arial"/>
    </x:font>
    <x:font>
      <x:b/>
      <x:sz val="10"/>
      <x:color rgb="FF10212B"/>
      <x:name val="Arial"/>
    </x:font>
    <x:font>
      <x:sz val="10"/>
      <x:color rgb="FF667781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0212B"/>
      </x:patternFill>
    </x:fill>
    <x:fill>
      <x:patternFill patternType="solid">
        <x:fgColor rgb="FFE8F6F2"/>
      </x:patternFill>
    </x:fill>
    <x:fill>
      <x:patternFill patternType="solid">
        <x:fgColor rgb="FFEAF2F8"/>
      </x:patternFill>
    </x:fill>
  </x:fills>
  <x:borders count="11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1E8EC"/>
      </x:bottom>
    </x:border>
    <x:border>
      <x:top style="thin">
        <x:color rgb="FFE1E8EC"/>
      </x:top>
      <x:bottom style="thin">
        <x:color rgb="FFE1E8EC"/>
      </x:bottom>
    </x:border>
    <x:border>
      <x:top style="thin">
        <x:color rgb="FFE1E8EC"/>
      </x:top>
    </x:border>
    <x:border>
      <x:left style="thin">
        <x:color rgb="FFA7CEC3"/>
      </x:left>
      <x:top style="thin">
        <x:color rgb="FFA7CEC3"/>
      </x:top>
    </x:border>
    <x:border>
      <x:right style="thin">
        <x:color rgb="FFA7CEC3"/>
      </x:right>
      <x:top style="thin">
        <x:color rgb="FFA7CEC3"/>
      </x:top>
    </x:border>
    <x:border>
      <x:left style="thin">
        <x:color rgb="FFA7CEC3"/>
      </x:left>
      <x:bottom style="thin">
        <x:color rgb="FFA7CEC3"/>
      </x:bottom>
    </x:border>
    <x:border>
      <x:right style="thin">
        <x:color rgb="FFA7CEC3"/>
      </x:right>
      <x:bottom style="thin">
        <x:color rgb="FFA7CEC3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5" fontId="4" fillId="0" borderId="4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205" fontId="4" fillId="0" borderId="6" xfId="0" applyNumberFormat="1" applyFont="1" applyFill="1" applyBorder="1" applyAlignment="1">
      <x:alignment vertical="center"/>
    </x:xf>
    <x:xf numFmtId="206" fontId="4" fillId="0" borderId="4" xfId="0" applyNumberFormat="1" applyFont="1" applyFill="1" applyBorder="1" applyAlignment="1">
      <x:alignment vertical="center"/>
    </x:xf>
    <x:xf numFmtId="206" fontId="4" fillId="0" borderId="5" xfId="0" applyNumberFormat="1" applyFont="1" applyFill="1" applyBorder="1" applyAlignment="1">
      <x:alignment vertical="center"/>
    </x:xf>
    <x:xf numFmtId="206" fontId="4" fillId="0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7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201" fontId="6" fillId="3" borderId="9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7" fillId="0" borderId="4" xfId="0" applyNumberFormat="1" applyFont="1" applyFill="1" applyBorder="1" applyAlignment="1">
      <x:alignment vertical="top"/>
    </x:xf>
    <x:xf numFmtId="0" fontId="7" fillId="0" borderId="5" xfId="0" applyNumberFormat="1" applyFont="1" applyFill="1" applyBorder="1" applyAlignment="1">
      <x:alignment vertical="top"/>
    </x:xf>
    <x:xf numFmtId="0" fontId="7" fillId="0" borderId="6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C94C4C"/>
      </x:font>
      <x:fill>
        <x:patternFill patternType="solid">
          <x:bgColor rgb="FFFCE8E8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087A62"/>
      </x:font>
      <x:fill>
        <x:patternFill patternType="solid">
          <x:bgColor rgb="FFE8F6F2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087A62"/>
      </x:font>
      <x:fill>
        <x:patternFill patternType="solid">
          <x:bgColor rgb="FFE8F6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598366e2b4cd0" /><Relationship Type="http://schemas.openxmlformats.org/officeDocument/2006/relationships/theme" Target="/xl/theme/theme1.xml" Id="Rd8d91f1d2588421e" /><Relationship Type="http://schemas.openxmlformats.org/officeDocument/2006/relationships/sharedStrings" Target="/xl/sharedStrings.xml" Id="Rb1c2340167af470e" /><Relationship Type="http://schemas.openxmlformats.org/officeDocument/2006/relationships/worksheet" Target="/xl/worksheets/sheet1.xml" Id="R5fe7077fc0cb4131" /><Relationship Type="http://schemas.openxmlformats.org/officeDocument/2006/relationships/worksheet" Target="/xl/worksheets/sheet2.xml" Id="R4f62f6a14b1e4b57" /><Relationship Type="http://schemas.openxmlformats.org/officeDocument/2006/relationships/worksheet" Target="/xl/worksheets/sheet3.xml" Id="R1a4ff02e8ec64e72" /><Relationship Type="http://schemas.openxmlformats.org/officeDocument/2006/relationships/worksheet" Target="/xl/worksheets/sheet4.xml" Id="Rac26a05970bd4f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dea97bbc944e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Cargo value by shipment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Cargo value (USD)</c:v>
          </c:tx>
          <c:spPr>
            <a:solidFill xmlns:a="http://schemas.openxmlformats.org/drawingml/2006/main">
              <a:srgbClr val="16A085"/>
            </a:solidFill>
          </c:spPr>
          <c:cat>
            <c:strRef>
              <c:f>'Judge Summary'!$A$9:$A$16</c:f>
              <c:strCache>
                <c:ptCount val="0"/>
              </c:strCache>
            </c:strRef>
          </c:cat>
          <c:val>
            <c:numRef>
              <c:f>'Judge Summary'!$C$9:$C$16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20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dea97bbc944e3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bcda0c2acb42de" /></Relationships>
</file>

<file path=xl/worksheets/sheet1.xml><?xml version="1.0" encoding="utf-8"?>
<x:worksheet xmlns:x="http://schemas.openxmlformats.org/spreadsheetml/2006/main">
  <x:sheetPr>
    <x:tabColor rgb="FF10212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1" hidden="0" customWidth="1"/>
    <x:col min="2" max="2" width="28" hidden="0" customWidth="1"/>
    <x:col min="3" max="3" width="15.25" hidden="0" customWidth="1"/>
    <x:col min="4" max="4" width="18.75" hidden="0" customWidth="1"/>
    <x:col min="5" max="5" width="11.25" hidden="0" customWidth="1"/>
    <x:col min="6" max="6" width="13.130000114440918" hidden="0" customWidth="1"/>
    <x:col min="7" max="7" width="13.380000114440918" hidden="0" customWidth="1"/>
    <x:col min="8" max="8" width="10.380000114440918" hidden="0" customWidth="1"/>
    <x:col min="9" max="9" width="11.630000114440918" hidden="0" customWidth="1"/>
    <x:col min="10" max="10" width="21.25" hidden="0" customWidth="1"/>
    <x:col min="11" max="11" width="28" hidden="0" customWidth="1"/>
  </x:cols>
  <x:sheetData>
    <x:row r="2">
      <x:c r="A2" s="48" t="str">
        <x:v>Sentinel Flash route and recovery dataset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>
      <x:c r="A3" s="2" t="str">
        <x:v>Shipment exposure, route estimates and recovery decisions as of 14 September 2026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</x:row>
    <x:row r="5">
      <x:c r="A5" s="55" t="str">
        <x:v>Routes</x:v>
      </x:c>
      <x:c r="B5" s="56"/>
      <x:c r="C5" s="76"/>
      <x:c r="D5" s="55" t="str">
        <x:v>Cargo value</x:v>
      </x:c>
      <x:c r="E5" s="56"/>
      <x:c r="F5" s="76"/>
      <x:c r="G5" s="55" t="str">
        <x:v>Scenarios</x:v>
      </x:c>
      <x:c r="H5" s="56"/>
      <x:c r="I5" s="76"/>
      <x:c r="J5" s="55" t="str">
        <x:v>Need human review</x:v>
      </x:c>
      <x:c r="K5" s="56"/>
    </x:row>
    <x:row r="6">
      <x:c r="A6" s="59" t="n">
        <x:f>COUNTA('Route Data'!A7:A14)</x:f>
        <x:v>8</x:v>
      </x:c>
      <x:c r="B6" s="58"/>
      <x:c r="C6" s="76"/>
      <x:c r="D6" s="60" t="n">
        <x:f>SUM('Route Data'!N7:N14)</x:f>
        <x:v>3486000</x:v>
      </x:c>
      <x:c r="E6" s="58"/>
      <x:c r="F6" s="76"/>
      <x:c r="G6" s="59" t="n">
        <x:f>COUNTA('Recovery Options'!A7:A38)</x:f>
        <x:v>32</x:v>
      </x:c>
      <x:c r="H6" s="58"/>
      <x:c r="I6" s="76"/>
      <x:c r="J6" s="59" t="n">
        <x:f>COUNTIF('Recovery Options'!AD7:AD38,"Recommended - Human review")</x:f>
        <x:v>3</x:v>
      </x:c>
      <x:c r="K6" s="58"/>
    </x:row>
    <x:row r="7">
      <x:c r="A7" s="76"/>
      <x:c r="B7" s="76"/>
      <x:c r="C7" s="76"/>
      <x:c r="D7" s="76"/>
      <x:c r="E7" s="76"/>
      <x:c r="F7" s="76"/>
      <x:c r="G7" s="76"/>
      <x:c r="H7" s="76"/>
      <x:c r="I7" s="76"/>
      <x:c r="J7" s="76"/>
      <x:c r="K7" s="76"/>
    </x:row>
    <x:row r="8" ht="15" hidden="0" customHeight="1">
      <x:c r="A8" s="14" t="str">
        <x:v>Shipment ID</x:v>
      </x:c>
      <x:c r="B8" s="15" t="str">
        <x:v>Lane</x:v>
      </x:c>
      <x:c r="C8" s="15" t="str">
        <x:v>Cargo value (USD)</x:v>
      </x:c>
      <x:c r="D8" s="15" t="str">
        <x:v>Baseline distance (NM)</x:v>
      </x:c>
      <x:c r="E8" s="15" t="str">
        <x:v>Selected plan</x:v>
      </x:c>
      <x:c r="F8" s="15" t="str">
        <x:v>Plan cost (USD)</x:v>
      </x:c>
      <x:c r="G8" s="15" t="str">
        <x:v>Fuel estimate (t)</x:v>
      </x:c>
      <x:c r="H8" s="15" t="str">
        <x:v>Delay (days)</x:v>
      </x:c>
      <x:c r="I8" s="15" t="str">
        <x:v>Post-plan risk</x:v>
      </x:c>
      <x:c r="J8" s="15" t="str">
        <x:v>Saving vs no action (USD)</x:v>
      </x:c>
      <x:c r="K8" s="16" t="str">
        <x:v>Outcome</x:v>
      </x:c>
    </x:row>
    <x:row r="9" ht="15" hidden="0" customHeight="1">
      <x:c r="A9" s="21" t="str">
        <x:f>'Route Data'!A7</x:f>
        <x:v>SF-1001</x:v>
      </x:c>
      <x:c r="B9" s="21" t="str">
        <x:f>'Route Data'!B7&amp;" to "&amp;'Route Data'!F7</x:f>
        <x:v>Ningbo to Rotterdam</x:v>
      </x:c>
      <x:c r="C9" s="27" t="n">
        <x:f>'Route Data'!N7</x:f>
        <x:v>180000</x:v>
      </x:c>
      <x:c r="D9" s="33" t="n">
        <x:f>'Route Data'!Q7</x:f>
        <x:v>4899</x:v>
      </x:c>
      <x:c r="E9" s="21" t="str">
        <x:f>'Recovery Options'!C9</x:f>
        <x:v>Switch mode</x:v>
      </x:c>
      <x:c r="F9" s="27" t="n">
        <x:f>'Recovery Options'!U9</x:f>
        <x:v>100100</x:v>
      </x:c>
      <x:c r="G9" s="33" t="n">
        <x:f>'Recovery Options'!W9</x:f>
        <x:v>45.9</x:v>
      </x:c>
      <x:c r="H9" s="33" t="n">
        <x:f>'Recovery Options'!V9</x:f>
        <x:v>2</x:v>
      </x:c>
      <x:c r="I9" s="33" t="n">
        <x:f>'Recovery Options'!X9</x:f>
        <x:v>29</x:v>
      </x:c>
      <x:c r="J9" s="27" t="n">
        <x:f>'Recovery Options'!Y9</x:f>
        <x:v>83700</x:v>
      </x:c>
      <x:c r="K9" s="21" t="str">
        <x:f>'Recovery Options'!AD9</x:f>
        <x:v>Recommended - Auto commit</x:v>
      </x:c>
    </x:row>
    <x:row r="10" ht="15" hidden="0" customHeight="1">
      <x:c r="A10" s="22" t="str">
        <x:f>'Route Data'!A8</x:f>
        <x:v>SF-1002</x:v>
      </x:c>
      <x:c r="B10" s="22" t="str">
        <x:f>'Route Data'!B8&amp;" to "&amp;'Route Data'!F8</x:f>
        <x:v>Antwerp to Mombasa</x:v>
      </x:c>
      <x:c r="C10" s="28" t="n">
        <x:f>'Route Data'!N8</x:f>
        <x:v>620000</x:v>
      </x:c>
      <x:c r="D10" s="34" t="n">
        <x:f>'Route Data'!Q8</x:f>
        <x:v>3780</x:v>
      </x:c>
      <x:c r="E10" s="22" t="str">
        <x:f>'Recovery Options'!C13</x:f>
        <x:v>Switch mode</x:v>
      </x:c>
      <x:c r="F10" s="28" t="n">
        <x:f>'Recovery Options'!U13</x:f>
        <x:v>99200</x:v>
      </x:c>
      <x:c r="G10" s="34" t="n">
        <x:f>'Recovery Options'!W13</x:f>
        <x:v>35.5</x:v>
      </x:c>
      <x:c r="H10" s="34" t="n">
        <x:f>'Recovery Options'!V13</x:f>
        <x:v>1.8</x:v>
      </x:c>
      <x:c r="I10" s="34" t="n">
        <x:f>'Recovery Options'!X13</x:f>
        <x:v>43</x:v>
      </x:c>
      <x:c r="J10" s="28" t="n">
        <x:f>'Recovery Options'!Y13</x:f>
        <x:v>197300</x:v>
      </x:c>
      <x:c r="K10" s="22" t="str">
        <x:f>'Recovery Options'!AD13</x:f>
        <x:v>Recommended - Human review</x:v>
      </x:c>
    </x:row>
    <x:row r="11" ht="15" hidden="0" customHeight="1">
      <x:c r="A11" s="22" t="str">
        <x:f>'Route Data'!A9</x:f>
        <x:v>SF-1003</x:v>
      </x:c>
      <x:c r="B11" s="22" t="str">
        <x:f>'Route Data'!B9&amp;" to "&amp;'Route Data'!F9</x:f>
        <x:v>Shanghai to Los Angeles</x:v>
      </x:c>
      <x:c r="C11" s="28" t="n">
        <x:f>'Route Data'!N9</x:f>
        <x:v>1450000</x:v>
      </x:c>
      <x:c r="D11" s="34" t="n">
        <x:f>'Route Data'!Q9</x:f>
        <x:v>5646</x:v>
      </x:c>
      <x:c r="E11" s="22" t="str">
        <x:f>'Recovery Options'!C17</x:f>
        <x:v>Switch mode</x:v>
      </x:c>
      <x:c r="F11" s="28" t="n">
        <x:f>'Recovery Options'!U17</x:f>
        <x:v>113900</x:v>
      </x:c>
      <x:c r="G11" s="34" t="n">
        <x:f>'Recovery Options'!W17</x:f>
        <x:v>53</x:v>
      </x:c>
      <x:c r="H11" s="34" t="n">
        <x:f>'Recovery Options'!V17</x:f>
        <x:v>2.2</x:v>
      </x:c>
      <x:c r="I11" s="34" t="n">
        <x:f>'Recovery Options'!X17</x:f>
        <x:v>40</x:v>
      </x:c>
      <x:c r="J11" s="28" t="n">
        <x:f>'Recovery Options'!Y17</x:f>
        <x:v>203400</x:v>
      </x:c>
      <x:c r="K11" s="22" t="str">
        <x:f>'Recovery Options'!AD17</x:f>
        <x:v>Recommended - Human review</x:v>
      </x:c>
    </x:row>
    <x:row r="12" ht="15" hidden="0" customHeight="1">
      <x:c r="A12" s="22" t="str">
        <x:f>'Route Data'!A10</x:f>
        <x:v>SF-2041</x:v>
      </x:c>
      <x:c r="B12" s="22" t="str">
        <x:f>'Route Data'!B10&amp;" to "&amp;'Route Data'!F10</x:f>
        <x:v>Santos to Hamburg</x:v>
      </x:c>
      <x:c r="C12" s="28" t="n">
        <x:f>'Route Data'!N10</x:f>
        <x:v>240000</x:v>
      </x:c>
      <x:c r="D12" s="34" t="n">
        <x:f>'Route Data'!Q10</x:f>
        <x:v>5490</x:v>
      </x:c>
      <x:c r="E12" s="22" t="str">
        <x:f>'Recovery Options'!C21</x:f>
        <x:v>Switch mode</x:v>
      </x:c>
      <x:c r="F12" s="28" t="n">
        <x:f>'Recovery Options'!U21</x:f>
        <x:v>106600</x:v>
      </x:c>
      <x:c r="G12" s="34" t="n">
        <x:f>'Recovery Options'!W21</x:f>
        <x:v>51.5</x:v>
      </x:c>
      <x:c r="H12" s="34" t="n">
        <x:f>'Recovery Options'!V21</x:f>
        <x:v>2.1</x:v>
      </x:c>
      <x:c r="I12" s="34" t="n">
        <x:f>'Recovery Options'!X21</x:f>
        <x:v>14</x:v>
      </x:c>
      <x:c r="J12" s="28" t="n">
        <x:f>'Recovery Options'!Y21</x:f>
        <x:v>700</x:v>
      </x:c>
      <x:c r="K12" s="22" t="str">
        <x:f>'Recovery Options'!AD21</x:f>
        <x:v>Recommended - Auto commit</x:v>
      </x:c>
    </x:row>
    <x:row r="13" ht="15" hidden="0" customHeight="1">
      <x:c r="A13" s="22" t="str">
        <x:f>'Route Data'!A11</x:f>
        <x:v>SF-2042</x:v>
      </x:c>
      <x:c r="B13" s="22" t="str">
        <x:f>'Route Data'!B11&amp;" to "&amp;'Route Data'!F11</x:f>
        <x:v>Busan to Seattle</x:v>
      </x:c>
      <x:c r="C13" s="28" t="n">
        <x:f>'Route Data'!N11</x:f>
        <x:v>410000</x:v>
      </x:c>
      <x:c r="D13" s="34" t="n">
        <x:f>'Route Data'!Q11</x:f>
        <x:v>4540</x:v>
      </x:c>
      <x:c r="E13" s="22" t="str">
        <x:f>'Recovery Options'!C25</x:f>
        <x:v>Switch mode</x:v>
      </x:c>
      <x:c r="F13" s="28" t="n">
        <x:f>'Recovery Options'!U25</x:f>
        <x:v>96500</x:v>
      </x:c>
      <x:c r="G13" s="34" t="n">
        <x:f>'Recovery Options'!W25</x:f>
        <x:v>42.6</x:v>
      </x:c>
      <x:c r="H13" s="34" t="n">
        <x:f>'Recovery Options'!V25</x:f>
        <x:v>1.9</x:v>
      </x:c>
      <x:c r="I13" s="34" t="n">
        <x:f>'Recovery Options'!X25</x:f>
        <x:v>19</x:v>
      </x:c>
      <x:c r="J13" s="28" t="n">
        <x:f>'Recovery Options'!Y25</x:f>
        <x:v>43500</x:v>
      </x:c>
      <x:c r="K13" s="22" t="str">
        <x:f>'Recovery Options'!AD25</x:f>
        <x:v>Recommended - Auto commit</x:v>
      </x:c>
    </x:row>
    <x:row r="14" ht="15" hidden="0" customHeight="1">
      <x:c r="A14" s="22" t="str">
        <x:f>'Route Data'!A12</x:f>
        <x:v>SF-2043</x:v>
      </x:c>
      <x:c r="B14" s="22" t="str">
        <x:f>'Route Data'!B12&amp;" to "&amp;'Route Data'!F12</x:f>
        <x:v>Jebel Ali to Felixstowe</x:v>
      </x:c>
      <x:c r="C14" s="28" t="n">
        <x:f>'Route Data'!N12</x:f>
        <x:v>305000</x:v>
      </x:c>
      <x:c r="D14" s="34" t="n">
        <x:f>'Route Data'!Q12</x:f>
        <x:v>2909</x:v>
      </x:c>
      <x:c r="E14" s="22" t="str">
        <x:f>'Recovery Options'!C28</x:f>
        <x:v>Re-speed</x:v>
      </x:c>
      <x:c r="F14" s="28" t="n">
        <x:f>'Recovery Options'!U28</x:f>
        <x:v>73200</x:v>
      </x:c>
      <x:c r="G14" s="34" t="n">
        <x:f>'Recovery Options'!W28</x:f>
        <x:v>105.8</x:v>
      </x:c>
      <x:c r="H14" s="34" t="n">
        <x:f>'Recovery Options'!V28</x:f>
        <x:v>0</x:v>
      </x:c>
      <x:c r="I14" s="34" t="n">
        <x:f>'Recovery Options'!X28</x:f>
        <x:v>32</x:v>
      </x:c>
      <x:c r="J14" s="28" t="n">
        <x:f>'Recovery Options'!Y28</x:f>
        <x:v>90100</x:v>
      </x:c>
      <x:c r="K14" s="22" t="str">
        <x:f>'Recovery Options'!AD28</x:f>
        <x:v>Recommended - Auto commit</x:v>
      </x:c>
    </x:row>
    <x:row r="15" ht="15" hidden="0" customHeight="1">
      <x:c r="A15" s="22" t="str">
        <x:f>'Route Data'!A13</x:f>
        <x:v>SF-2044</x:v>
      </x:c>
      <x:c r="B15" s="22" t="str">
        <x:f>'Route Data'!B13&amp;" to "&amp;'Route Data'!F13</x:f>
        <x:v>Valencia to New York</x:v>
      </x:c>
      <x:c r="C15" s="28" t="n">
        <x:f>'Route Data'!N13</x:f>
        <x:v>185000</x:v>
      </x:c>
      <x:c r="D15" s="34" t="n">
        <x:f>'Route Data'!Q13</x:f>
        <x:v>3284</x:v>
      </x:c>
      <x:c r="E15" s="22" t="str">
        <x:f>'Recovery Options'!C33</x:f>
        <x:v>Switch mode</x:v>
      </x:c>
      <x:c r="F15" s="28" t="n">
        <x:f>'Recovery Options'!U33</x:f>
        <x:v>84800</x:v>
      </x:c>
      <x:c r="G15" s="34" t="n">
        <x:f>'Recovery Options'!W33</x:f>
        <x:v>30.7</x:v>
      </x:c>
      <x:c r="H15" s="34" t="n">
        <x:f>'Recovery Options'!V33</x:f>
        <x:v>1.7</x:v>
      </x:c>
      <x:c r="I15" s="34" t="n">
        <x:f>'Recovery Options'!X33</x:f>
        <x:v>22</x:v>
      </x:c>
      <x:c r="J15" s="28" t="n">
        <x:f>'Recovery Options'!Y33</x:f>
        <x:v>81700</x:v>
      </x:c>
      <x:c r="K15" s="22" t="str">
        <x:f>'Recovery Options'!AD33</x:f>
        <x:v>Recommended - Human review</x:v>
      </x:c>
    </x:row>
    <x:row r="16" ht="15" hidden="0" customHeight="1">
      <x:c r="A16" s="23" t="str">
        <x:f>'Route Data'!A14</x:f>
        <x:v>SF-2045</x:v>
      </x:c>
      <x:c r="B16" s="23" t="str">
        <x:f>'Route Data'!B14&amp;" to "&amp;'Route Data'!F14</x:f>
        <x:v>Chennai to Durban</x:v>
      </x:c>
      <x:c r="C16" s="29" t="n">
        <x:f>'Route Data'!N14</x:f>
        <x:v>96000</x:v>
      </x:c>
      <x:c r="D16" s="35" t="n">
        <x:f>'Route Data'!Q14</x:f>
        <x:v>3843</x:v>
      </x:c>
      <x:c r="E16" s="23" t="str">
        <x:f>'Recovery Options'!C37</x:f>
        <x:v>Switch mode</x:v>
      </x:c>
      <x:c r="F16" s="29" t="n">
        <x:f>'Recovery Options'!U37</x:f>
        <x:v>88000</x:v>
      </x:c>
      <x:c r="G16" s="35" t="n">
        <x:f>'Recovery Options'!W37</x:f>
        <x:v>36</x:v>
      </x:c>
      <x:c r="H16" s="35" t="n">
        <x:f>'Recovery Options'!V37</x:f>
        <x:v>1.8</x:v>
      </x:c>
      <x:c r="I16" s="35" t="n">
        <x:f>'Recovery Options'!X37</x:f>
        <x:v>11</x:v>
      </x:c>
      <x:c r="J16" s="29" t="n">
        <x:f>'Recovery Options'!Y37</x:f>
        <x:v>14500</x:v>
      </x:c>
      <x:c r="K16" s="23" t="str">
        <x:f>'Recovery Options'!AD37</x:f>
        <x:v>Recommended - Auto commit</x:v>
      </x:c>
    </x:row>
    <x:row r="17">
      <x:c r="A17" s="76"/>
      <x:c r="B17" s="76"/>
      <x:c r="C17" s="76"/>
      <x:c r="D17" s="76"/>
      <x:c r="E17" s="76"/>
      <x:c r="F17" s="76"/>
      <x:c r="G17" s="76"/>
      <x:c r="H17" s="76"/>
      <x:c r="I17" s="76"/>
      <x:c r="J17" s="76"/>
      <x:c r="K17" s="76"/>
    </x:row>
    <x:row r="18" ht="34" customHeight="1">
      <x:c r="A18" s="61" t="str">
        <x:v>Dataset classification</x:v>
      </x:c>
      <x:c r="B18" s="65" t="str">
        <x:v>Seeded project shipment records with source-backed, route-specific cost estimates. Figures are planning estimates, not binding carrier quotes or measured consumption.</x:v>
      </x:c>
      <x:c r="C18" s="65"/>
      <x:c r="D18" s="65"/>
      <x:c r="E18" s="65"/>
      <x:c r="F18" s="65"/>
      <x:c r="G18" s="65"/>
      <x:c r="H18" s="65"/>
      <x:c r="I18" s="65"/>
      <x:c r="J18" s="65"/>
      <x:c r="K18" s="65"/>
    </x:row>
    <x:row r="19" ht="34" customHeight="1">
      <x:c r="A19" s="61" t="str">
        <x:v>Decision model</x:v>
      </x:c>
      <x:c r="B19" s="65" t="str">
        <x:v>Every cost is calculated from route distance, speed-related fuel burn, bunker price, vessel time, handling, cargo protection and risk reserve.</x:v>
      </x:c>
      <x:c r="C19" s="65"/>
      <x:c r="D19" s="65"/>
      <x:c r="E19" s="65"/>
      <x:c r="F19" s="65"/>
      <x:c r="G19" s="65"/>
      <x:c r="H19" s="65"/>
      <x:c r="I19" s="65"/>
      <x:c r="J19" s="65"/>
      <x:c r="K19" s="65"/>
    </x:row>
  </x:sheetData>
  <x:mergeCells>
    <x:mergeCell ref="B18:K18"/>
    <x:mergeCell ref="B19:K19"/>
  </x:mergeCells>
  <x:conditionalFormatting sqref="I9:I16">
    <x:cfRule type="colorScale" priority="1">
      <x:colorScale>
        <x:cfvo type="min"/>
        <x:cfvo type="percentile" val="50"/>
        <x:cfvo type="max"/>
        <x:color rgb="FFDDF3EB"/>
        <x:color rgb="FFF4B942"/>
        <x:color rgb="FFE56B6F"/>
      </x:colorScale>
    </x:cfRule>
  </x:conditionalFormatting>
  <x:conditionalFormatting sqref="K9:K16">
    <x:cfRule type="containsText" dxfId="3" priority="2" operator="containsText" text="Human review"/>
    <x:cfRule type="containsText" dxfId="4" priority="3" operator="containsText" text="Auto commit"/>
  </x:conditionalFormatting>
  <x:pageMargins left="0.7" right="0.7" top="0.75" bottom="0.75" header="0.3" footer="0.3"/>
  <x:drawing xmlns:r="http://schemas.openxmlformats.org/officeDocument/2006/relationships" r:id="Ra7bcda0c2acb42de"/>
</x:worksheet>
</file>

<file path=xl/worksheets/sheet2.xml><?xml version="1.0" encoding="utf-8"?>
<x:worksheet xmlns:x="http://schemas.openxmlformats.org/spreadsheetml/2006/main">
  <x:sheetPr>
    <x:tabColor rgb="FF16A08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.25" hidden="0" customWidth="1"/>
    <x:col min="2" max="2" width="27" hidden="0" customWidth="1"/>
    <x:col min="3" max="3" width="10.130000114440918" hidden="0" customWidth="1"/>
    <x:col min="4" max="4" width="12.5" hidden="0" customWidth="1"/>
    <x:col min="5" max="5" width="7" hidden="0" customWidth="1"/>
    <x:col min="6" max="6" width="15.130000114440918" hidden="0" customWidth="1"/>
    <x:col min="7" max="7" width="7.380000114440918" hidden="0" customWidth="1"/>
    <x:col min="8" max="8" width="9.380000114440918" hidden="0" customWidth="1"/>
    <x:col min="9" max="9" width="11" hidden="0" customWidth="1"/>
    <x:col min="10" max="10" width="16.6299991607666" hidden="0" customWidth="1"/>
    <x:col min="11" max="11" width="18.6299991607666" hidden="0" customWidth="1"/>
    <x:col min="12" max="12" width="15.25" hidden="0" customWidth="1"/>
    <x:col min="13" max="13" width="13" hidden="0" customWidth="1"/>
    <x:col min="14" max="14" width="11.5" hidden="0" customWidth="1"/>
    <x:col min="15" max="15" width="16.8799991607666" hidden="0" customWidth="1"/>
    <x:col min="16" max="16" width="13" hidden="0" customWidth="1"/>
    <x:col min="17" max="17" width="18.6299991607666" hidden="0" customWidth="1"/>
    <x:col min="18" max="18" width="16.6299991607666" hidden="0" customWidth="1"/>
    <x:col min="19" max="19" width="19.1299991607666" hidden="0" customWidth="1"/>
    <x:col min="20" max="20" width="15.630000114440918" hidden="0" customWidth="1"/>
    <x:col min="21" max="21" width="21.6299991607666" hidden="0" customWidth="1"/>
    <x:col min="22" max="22" width="17.6299991607666" hidden="0" customWidth="1"/>
    <x:col min="23" max="23" width="14.25" hidden="0" customWidth="1"/>
    <x:col min="24" max="24" width="11.630000114440918" hidden="0" customWidth="1"/>
    <x:col min="25" max="25" width="21.25" hidden="0" customWidth="1"/>
    <x:col min="26" max="26" width="17.25" hidden="0" customWidth="1"/>
    <x:col min="27" max="27" width="18.3799991607666" hidden="0" customWidth="1"/>
    <x:col min="28" max="28" width="11.630000114440918" hidden="0" customWidth="1"/>
    <x:col min="29" max="29" width="36" hidden="0" customWidth="1"/>
    <x:col min="30" max="30" width="25" hidden="0" customWidth="1"/>
    <x:col min="31" max="31" width="48" hidden="0" customWidth="1"/>
  </x:cols>
  <x:sheetData>
    <x:row r="2">
      <x:c r="A2" s="1" t="str">
        <x:v>Recovery option dataset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6"/>
      <x:c r="P2" s="76"/>
      <x:c r="Q2" s="76"/>
      <x:c r="R2" s="76"/>
      <x:c r="S2" s="76"/>
      <x:c r="T2" s="76"/>
      <x:c r="U2" s="76"/>
      <x:c r="V2" s="76"/>
      <x:c r="W2" s="76"/>
      <x:c r="X2" s="76"/>
      <x:c r="Y2" s="76"/>
      <x:c r="Z2" s="76"/>
      <x:c r="AA2" s="76"/>
      <x:c r="AB2" s="76"/>
      <x:c r="AC2" s="76"/>
      <x:c r="AD2" s="76"/>
      <x:c r="AE2" s="76"/>
    </x:row>
    <x:row r="3">
      <x:c r="A3" s="2" t="str">
        <x:v>Four scenarios per shipment: three recovery choices and the cost of doing nothing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76"/>
      <x:c r="M3" s="76"/>
      <x:c r="N3" s="76"/>
      <x:c r="O3" s="76"/>
      <x:c r="P3" s="76"/>
      <x:c r="Q3" s="76"/>
      <x:c r="R3" s="76"/>
      <x:c r="S3" s="76"/>
      <x:c r="T3" s="76"/>
      <x:c r="U3" s="76"/>
      <x:c r="V3" s="76"/>
      <x:c r="W3" s="76"/>
      <x:c r="X3" s="76"/>
      <x:c r="Y3" s="76"/>
      <x:c r="Z3" s="76"/>
      <x:c r="AA3" s="76"/>
      <x:c r="AB3" s="76"/>
      <x:c r="AC3" s="76"/>
      <x:c r="AD3" s="76"/>
      <x:c r="AE3" s="76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  <x:c r="AA4" s="76"/>
      <x:c r="AB4" s="76"/>
      <x:c r="AC4" s="76"/>
      <x:c r="AD4" s="76"/>
      <x:c r="AE4" s="76"/>
    </x:row>
    <x:row r="5">
      <x:c r="A5" s="76"/>
      <x:c r="B5" s="76"/>
      <x:c r="C5" s="76"/>
      <x:c r="D5" s="76"/>
      <x:c r="E5" s="76"/>
      <x:c r="F5" s="76"/>
      <x:c r="G5" s="76"/>
      <x:c r="H5" s="76"/>
      <x:c r="I5" s="76"/>
      <x:c r="J5" s="76"/>
      <x:c r="K5" s="76"/>
      <x:c r="L5" s="76"/>
      <x:c r="M5" s="76"/>
      <x:c r="N5" s="76"/>
      <x:c r="O5" s="76"/>
      <x:c r="P5" s="76"/>
      <x:c r="Q5" s="76"/>
      <x:c r="R5" s="76"/>
      <x:c r="S5" s="76"/>
      <x:c r="T5" s="76"/>
      <x:c r="U5" s="76"/>
      <x:c r="V5" s="76"/>
      <x:c r="W5" s="76"/>
      <x:c r="X5" s="76"/>
      <x:c r="Y5" s="76"/>
      <x:c r="Z5" s="76"/>
      <x:c r="AA5" s="76"/>
      <x:c r="AB5" s="76"/>
      <x:c r="AC5" s="76"/>
      <x:c r="AD5" s="76"/>
      <x:c r="AE5" s="76"/>
    </x:row>
    <x:row r="6" ht="15" hidden="0" customHeight="1">
      <x:c r="A6" s="14" t="str">
        <x:v>Shipment ID</x:v>
      </x:c>
      <x:c r="B6" s="15" t="str">
        <x:v>Lane</x:v>
      </x:c>
      <x:c r="C6" s="15" t="str">
        <x:v>Scenario</x:v>
      </x:c>
      <x:c r="D6" s="15" t="str">
        <x:v>Recommended</x:v>
      </x:c>
      <x:c r="E6" s="15" t="str">
        <x:v>Viability</x:v>
      </x:c>
      <x:c r="F6" s="15" t="str">
        <x:v>Via point</x:v>
      </x:c>
      <x:c r="G6" s="15" t="str">
        <x:v>Via code</x:v>
      </x:c>
      <x:c r="H6" s="15" t="str">
        <x:v>Via latitude</x:v>
      </x:c>
      <x:c r="I6" s="15" t="str">
        <x:v>Via longitude</x:v>
      </x:c>
      <x:c r="J6" s="15" t="str">
        <x:v>Route distance (NM)</x:v>
      </x:c>
      <x:c r="K6" s="15" t="str">
        <x:v>Route ETA delta (days)</x:v>
      </x:c>
      <x:c r="L6" s="15" t="str">
        <x:v>Route fuel delta (t)</x:v>
      </x:c>
      <x:c r="M6" s="15" t="str">
        <x:v>Baseline fuel (t)</x:v>
      </x:c>
      <x:c r="N6" s="15" t="str">
        <x:v>Option fuel (t)</x:v>
      </x:c>
      <x:c r="O6" s="15" t="str">
        <x:v>Bunker price (USD/t)</x:v>
      </x:c>
      <x:c r="P6" s="15" t="str">
        <x:v>Fuel cost (USD)</x:v>
      </x:c>
      <x:c r="Q6" s="15" t="str">
        <x:v>Vessel time cost (USD)</x:v>
      </x:c>
      <x:c r="R6" s="15" t="str">
        <x:v>Handling cost (USD)</x:v>
      </x:c>
      <x:c r="S6" s="15" t="str">
        <x:v>Cargo protection (USD)</x:v>
      </x:c>
      <x:c r="T6" s="15" t="str">
        <x:v>Risk reserve (USD)</x:v>
      </x:c>
      <x:c r="U6" s="15" t="str">
        <x:v>Total estimated cost (USD)</x:v>
      </x:c>
      <x:c r="V6" s="15" t="str">
        <x:v>Decision delay (days)</x:v>
      </x:c>
      <x:c r="W6" s="15" t="str">
        <x:v>Additional fuel (t)</x:v>
      </x:c>
      <x:c r="X6" s="15" t="str">
        <x:v>Projected risk</x:v>
      </x:c>
      <x:c r="Y6" s="15" t="str">
        <x:v>Saving vs no action (USD)</x:v>
      </x:c>
      <x:c r="Z6" s="15" t="str">
        <x:v>No-action cost (USD)</x:v>
      </x:c>
      <x:c r="AA6" s="15" t="str">
        <x:v>No-action delay (days)</x:v>
      </x:c>
      <x:c r="AB6" s="15" t="str">
        <x:v>No-action risk</x:v>
      </x:c>
      <x:c r="AC6" s="15" t="str">
        <x:v>Policy rules</x:v>
      </x:c>
      <x:c r="AD6" s="15" t="str">
        <x:v>Decision outcome</x:v>
      </x:c>
      <x:c r="AE6" s="16" t="str">
        <x:v>Reason</x:v>
      </x:c>
    </x:row>
    <x:row r="7" ht="15" hidden="0" customHeight="1">
      <x:c r="A7" s="21" t="str">
        <x:v>SF-1001</x:v>
      </x:c>
      <x:c r="B7" s="21" t="str">
        <x:v>Ningbo to Rotterdam</x:v>
      </x:c>
      <x:c r="C7" s="21" t="str">
        <x:v>Reroute</x:v>
      </x:c>
      <x:c r="D7" s="21" t="str">
        <x:v>No</x:v>
      </x:c>
      <x:c r="E7" s="21" t="str">
        <x:v>Viable</x:v>
      </x:c>
      <x:c r="F7" s="21" t="str">
        <x:v>Cape route</x:v>
      </x:c>
      <x:c r="G7" s="21" t="str">
        <x:v>CAPE</x:v>
      </x:c>
      <x:c r="H7" s="24" t="n">
        <x:v>-34.36</x:v>
      </x:c>
      <x:c r="I7" s="24" t="n">
        <x:v>18.47</x:v>
      </x:c>
      <x:c r="J7" s="33" t="n">
        <x:v>5781</x:v>
      </x:c>
      <x:c r="K7" s="42" t="n">
        <x:v>2.3</x:v>
      </x:c>
      <x:c r="L7" s="45" t="n">
        <x:v>40</x:v>
      </x:c>
      <x:c r="M7" s="45" t="n">
        <x:v>574.1</x:v>
      </x:c>
      <x:c r="N7" s="45" t="n">
        <x:v>677.5</x:v>
      </x:c>
      <x:c r="O7" s="27" t="n">
        <x:v>635</x:v>
      </x:c>
      <x:c r="P7" s="27" t="n">
        <x:v>65700</x:v>
      </x:c>
      <x:c r="Q7" s="27" t="n">
        <x:v>57400</x:v>
      </x:c>
      <x:c r="R7" s="27" t="n">
        <x:v>15000</x:v>
      </x:c>
      <x:c r="S7" s="27" t="n">
        <x:v>0</x:v>
      </x:c>
      <x:c r="T7" s="27" t="n">
        <x:v>400</x:v>
      </x:c>
      <x:c r="U7" s="27" t="n">
        <x:v>138500</x:v>
      </x:c>
      <x:c r="V7" s="45" t="n">
        <x:v>2.8</x:v>
      </x:c>
      <x:c r="W7" s="45" t="n">
        <x:v>103.4</x:v>
      </x:c>
      <x:c r="X7" s="45" t="n">
        <x:v>21</x:v>
      </x:c>
      <x:c r="Y7" s="27" t="n">
        <x:f>Z7-U7</x:f>
        <x:v>45300</x:v>
      </x:c>
      <x:c r="Z7" s="27" t="n">
        <x:v>183800</x:v>
      </x:c>
      <x:c r="AA7" s="42" t="n">
        <x:v>7</x:v>
      </x:c>
      <x:c r="AB7" s="42" t="n">
        <x:v>79</x:v>
      </x:c>
      <x:c r="AC7" s="39" t="str">
        <x:v>None</x:v>
      </x:c>
      <x:c r="AD7" s="39" t="str">
        <x:v>Alternative</x:v>
      </x:c>
      <x:c r="AE7" s="39" t="str">
        <x:v>Avoid the disrupted corridor using validated waypoints.</x:v>
      </x:c>
    </x:row>
    <x:row r="8" ht="15" hidden="0" customHeight="1">
      <x:c r="A8" s="22" t="str">
        <x:v>SF-1001</x:v>
      </x:c>
      <x:c r="B8" s="22" t="str">
        <x:v>Ningbo to Rotterdam</x:v>
      </x:c>
      <x:c r="C8" s="22" t="str">
        <x:v>Re-speed</x:v>
      </x:c>
      <x:c r="D8" s="22" t="str">
        <x:v>No</x:v>
      </x:c>
      <x:c r="E8" s="22" t="str">
        <x:v>Viable</x:v>
      </x:c>
      <x:c r="F8" s="22" t="str">
        <x:v>Optimized waypoint</x:v>
      </x:c>
      <x:c r="G8" s="22" t="str">
        <x:v>OPT</x:v>
      </x:c>
      <x:c r="H8" s="25" t="n">
        <x:v>40.910000000000004</x:v>
      </x:c>
      <x:c r="I8" s="25" t="n">
        <x:v>62.84</x:v>
      </x:c>
      <x:c r="J8" s="34" t="n">
        <x:v>4801</x:v>
      </x:c>
      <x:c r="K8" s="43" t="n">
        <x:v>0</x:v>
      </x:c>
      <x:c r="L8" s="46" t="n">
        <x:v>4</x:v>
      </x:c>
      <x:c r="M8" s="46" t="n">
        <x:v>574.1</x:v>
      </x:c>
      <x:c r="N8" s="46" t="n">
        <x:v>752.2</x:v>
      </x:c>
      <x:c r="O8" s="28" t="n">
        <x:v>635</x:v>
      </x:c>
      <x:c r="P8" s="28" t="n">
        <x:v>113100</x:v>
      </x:c>
      <x:c r="Q8" s="28" t="n">
        <x:v>0</x:v>
      </x:c>
      <x:c r="R8" s="28" t="n">
        <x:v>5000</x:v>
      </x:c>
      <x:c r="S8" s="28" t="n">
        <x:v>0</x:v>
      </x:c>
      <x:c r="T8" s="28" t="n">
        <x:v>700</x:v>
      </x:c>
      <x:c r="U8" s="28" t="n">
        <x:v>118800</x:v>
      </x:c>
      <x:c r="V8" s="46" t="n">
        <x:v>0</x:v>
      </x:c>
      <x:c r="W8" s="46" t="n">
        <x:v>178.1</x:v>
      </x:c>
      <x:c r="X8" s="46" t="n">
        <x:v>38</x:v>
      </x:c>
      <x:c r="Y8" s="28" t="n">
        <x:f>Z8-U8</x:f>
        <x:v>65000</x:v>
      </x:c>
      <x:c r="Z8" s="28" t="n">
        <x:v>183800</x:v>
      </x:c>
      <x:c r="AA8" s="43" t="n">
        <x:v>7</x:v>
      </x:c>
      <x:c r="AB8" s="43" t="n">
        <x:v>79</x:v>
      </x:c>
      <x:c r="AC8" s="40" t="str">
        <x:v>None</x:v>
      </x:c>
      <x:c r="AD8" s="40" t="str">
        <x:v>Alternative</x:v>
      </x:c>
      <x:c r="AE8" s="40" t="str">
        <x:v>Increase speed on safe legs to recover schedule.</x:v>
      </x:c>
    </x:row>
    <x:row r="9" ht="15" hidden="0" customHeight="1">
      <x:c r="A9" s="22" t="str">
        <x:v>SF-1001</x:v>
      </x:c>
      <x:c r="B9" s="22" t="str">
        <x:v>Ningbo to Rotterdam</x:v>
      </x:c>
      <x:c r="C9" s="22" t="str">
        <x:v>Switch mode</x:v>
      </x:c>
      <x:c r="D9" s="22" t="str">
        <x:v>Yes</x:v>
      </x:c>
      <x:c r="E9" s="22" t="str">
        <x:v>Viable</x:v>
      </x:c>
      <x:c r="F9" s="22" t="str">
        <x:v>Antwerp</x:v>
      </x:c>
      <x:c r="G9" s="22" t="str">
        <x:v>BEANR</x:v>
      </x:c>
      <x:c r="H9" s="25" t="n">
        <x:v>51.26</x:v>
      </x:c>
      <x:c r="I9" s="25" t="n">
        <x:v>4.4</x:v>
      </x:c>
      <x:c r="J9" s="34" t="n">
        <x:v>5291</x:v>
      </x:c>
      <x:c r="K9" s="43" t="n">
        <x:v>1</x:v>
      </x:c>
      <x:c r="L9" s="46" t="n">
        <x:v>18</x:v>
      </x:c>
      <x:c r="M9" s="46" t="n">
        <x:v>574.1</x:v>
      </x:c>
      <x:c r="N9" s="46" t="n">
        <x:v>620</x:v>
      </x:c>
      <x:c r="O9" s="28" t="n">
        <x:v>635</x:v>
      </x:c>
      <x:c r="P9" s="28" t="n">
        <x:v>29100</x:v>
      </x:c>
      <x:c r="Q9" s="28" t="n">
        <x:v>25500</x:v>
      </x:c>
      <x:c r="R9" s="28" t="n">
        <x:v>45000</x:v>
      </x:c>
      <x:c r="S9" s="28" t="n">
        <x:v>0</x:v>
      </x:c>
      <x:c r="T9" s="28" t="n">
        <x:v>500</x:v>
      </x:c>
      <x:c r="U9" s="28" t="n">
        <x:v>100100</x:v>
      </x:c>
      <x:c r="V9" s="46" t="n">
        <x:v>2</x:v>
      </x:c>
      <x:c r="W9" s="46" t="n">
        <x:v>45.9</x:v>
      </x:c>
      <x:c r="X9" s="46" t="n">
        <x:v>29</x:v>
      </x:c>
      <x:c r="Y9" s="28" t="n">
        <x:f>Z9-U9</x:f>
        <x:v>83700</x:v>
      </x:c>
      <x:c r="Z9" s="28" t="n">
        <x:v>183800</x:v>
      </x:c>
      <x:c r="AA9" s="43" t="n">
        <x:v>7</x:v>
      </x:c>
      <x:c r="AB9" s="43" t="n">
        <x:v>79</x:v>
      </x:c>
      <x:c r="AC9" s="40" t="str">
        <x:v>None</x:v>
      </x:c>
      <x:c r="AD9" s="40" t="str">
        <x:v>Recommended - Auto commit</x:v>
      </x:c>
      <x:c r="AE9" s="40" t="str">
        <x:v>Use an alternative port and protected onward transport.</x:v>
      </x:c>
    </x:row>
    <x:row r="10" ht="24" hidden="0" customHeight="1">
      <x:c r="A10" s="22" t="str">
        <x:v>SF-1001</x:v>
      </x:c>
      <x:c r="B10" s="22" t="str">
        <x:v>Ningbo to Rotterdam</x:v>
      </x:c>
      <x:c r="C10" s="22" t="str">
        <x:v>Do nothing</x:v>
      </x:c>
      <x:c r="D10" s="22" t="str">
        <x:v>No</x:v>
      </x:c>
      <x:c r="E10" s="22" t="str">
        <x:v>Baseline</x:v>
      </x:c>
      <x:c r="F10" s="22" t="str">
        <x:v>Not applicable</x:v>
      </x:c>
      <x:c r="G10" s="22" t="str"/>
      <x:c r="H10" s="25"/>
      <x:c r="I10" s="25"/>
      <x:c r="J10" s="34" t="n">
        <x:v>4899</x:v>
      </x:c>
      <x:c r="K10" s="43" t="n">
        <x:v>0</x:v>
      </x:c>
      <x:c r="L10" s="46" t="n">
        <x:v>0</x:v>
      </x:c>
      <x:c r="M10" s="46" t="n">
        <x:v>574.1</x:v>
      </x:c>
      <x:c r="N10" s="46" t="n">
        <x:v>574.1</x:v>
      </x:c>
      <x:c r="O10" s="28" t="n">
        <x:v>635</x:v>
      </x:c>
      <x:c r="P10" s="28" t="n">
        <x:v>0</x:v>
      </x:c>
      <x:c r="Q10" s="28" t="n">
        <x:v>175000</x:v>
      </x:c>
      <x:c r="R10" s="28" t="n">
        <x:v>0</x:v>
      </x:c>
      <x:c r="S10" s="28" t="n">
        <x:v>0</x:v>
      </x:c>
      <x:c r="T10" s="28" t="n">
        <x:v>8800</x:v>
      </x:c>
      <x:c r="U10" s="28" t="n">
        <x:v>183800</x:v>
      </x:c>
      <x:c r="V10" s="46" t="n">
        <x:v>7</x:v>
      </x:c>
      <x:c r="W10" s="46" t="n">
        <x:v>0</x:v>
      </x:c>
      <x:c r="X10" s="46" t="n">
        <x:v>79</x:v>
      </x:c>
      <x:c r="Y10" s="28" t="n">
        <x:f>Z10-U10</x:f>
        <x:v>0</x:v>
      </x:c>
      <x:c r="Z10" s="28" t="n">
        <x:v>183800</x:v>
      </x:c>
      <x:c r="AA10" s="43" t="n">
        <x:v>7</x:v>
      </x:c>
      <x:c r="AB10" s="43" t="n">
        <x:v>79</x:v>
      </x:c>
      <x:c r="AC10" s="40" t="str">
        <x:v>No recovery action</x:v>
      </x:c>
      <x:c r="AD10" s="40" t="str">
        <x:v>Baseline</x:v>
      </x:c>
      <x:c r="AE10" s="40" t="str">
        <x:v>Estimated exposure includes 7 days of vessel time, cargo risk, and service-failure exposure.</x:v>
      </x:c>
    </x:row>
    <x:row r="11" ht="15" hidden="0" customHeight="1">
      <x:c r="A11" s="22" t="str">
        <x:v>SF-1002</x:v>
      </x:c>
      <x:c r="B11" s="22" t="str">
        <x:v>Antwerp to Mombasa</x:v>
      </x:c>
      <x:c r="C11" s="22" t="str">
        <x:v>Reroute</x:v>
      </x:c>
      <x:c r="D11" s="22" t="str">
        <x:v>No</x:v>
      </x:c>
      <x:c r="E11" s="22" t="str">
        <x:v>Viable</x:v>
      </x:c>
      <x:c r="F11" s="22" t="str">
        <x:v>Cape route</x:v>
      </x:c>
      <x:c r="G11" s="22" t="str">
        <x:v>CAPE</x:v>
      </x:c>
      <x:c r="H11" s="25" t="n">
        <x:v>-34.36</x:v>
      </x:c>
      <x:c r="I11" s="25" t="n">
        <x:v>18.47</x:v>
      </x:c>
      <x:c r="J11" s="34" t="n">
        <x:v>4460</x:v>
      </x:c>
      <x:c r="K11" s="43" t="n">
        <x:v>1.8</x:v>
      </x:c>
      <x:c r="L11" s="46" t="n">
        <x:v>31</x:v>
      </x:c>
      <x:c r="M11" s="46" t="n">
        <x:v>442.9</x:v>
      </x:c>
      <x:c r="N11" s="46" t="n">
        <x:v>522.7</x:v>
      </x:c>
      <x:c r="O11" s="28" t="n">
        <x:v>635</x:v>
      </x:c>
      <x:c r="P11" s="28" t="n">
        <x:v>50700</x:v>
      </x:c>
      <x:c r="Q11" s="28" t="n">
        <x:v>44300</x:v>
      </x:c>
      <x:c r="R11" s="28" t="n">
        <x:v>15000</x:v>
      </x:c>
      <x:c r="S11" s="28" t="n">
        <x:v>6200</x:v>
      </x:c>
      <x:c r="T11" s="28" t="n">
        <x:v>2100</x:v>
      </x:c>
      <x:c r="U11" s="28" t="n">
        <x:v>118300</x:v>
      </x:c>
      <x:c r="V11" s="46" t="n">
        <x:v>2.3</x:v>
      </x:c>
      <x:c r="W11" s="46" t="n">
        <x:v>79.8</x:v>
      </x:c>
      <x:c r="X11" s="46" t="n">
        <x:v>34</x:v>
      </x:c>
      <x:c r="Y11" s="28" t="n">
        <x:f>Z11-U11</x:f>
        <x:v>178200</x:v>
      </x:c>
      <x:c r="Z11" s="28" t="n">
        <x:v>296500</x:v>
      </x:c>
      <x:c r="AA11" s="43" t="n">
        <x:v>9</x:v>
      </x:c>
      <x:c r="AB11" s="43" t="n">
        <x:v>96</x:v>
      </x:c>
      <x:c r="AC11" s="40" t="str">
        <x:v>Cold-chain human approval</x:v>
      </x:c>
      <x:c r="AD11" s="40" t="str">
        <x:v>Alternative</x:v>
      </x:c>
      <x:c r="AE11" s="40" t="str">
        <x:v>Avoid the disrupted corridor using validated waypoints.</x:v>
      </x:c>
    </x:row>
    <x:row r="12" ht="24" hidden="0" customHeight="1">
      <x:c r="A12" s="22" t="str">
        <x:v>SF-1002</x:v>
      </x:c>
      <x:c r="B12" s="22" t="str">
        <x:v>Antwerp to Mombasa</x:v>
      </x:c>
      <x:c r="C12" s="22" t="str">
        <x:v>Re-speed</x:v>
      </x:c>
      <x:c r="D12" s="22" t="str">
        <x:v>No</x:v>
      </x:c>
      <x:c r="E12" s="22" t="str">
        <x:v>Refused</x:v>
      </x:c>
      <x:c r="F12" s="22" t="str">
        <x:v>Optimized waypoint</x:v>
      </x:c>
      <x:c r="G12" s="22" t="str">
        <x:v>OPT</x:v>
      </x:c>
      <x:c r="H12" s="25" t="n">
        <x:v>23.61</x:v>
      </x:c>
      <x:c r="I12" s="25" t="n">
        <x:v>22.029999999999998</x:v>
      </x:c>
      <x:c r="J12" s="34" t="n">
        <x:v>3704</x:v>
      </x:c>
      <x:c r="K12" s="43" t="n">
        <x:v>0</x:v>
      </x:c>
      <x:c r="L12" s="46" t="n">
        <x:v>3</x:v>
      </x:c>
      <x:c r="M12" s="46" t="n">
        <x:v>442.9</x:v>
      </x:c>
      <x:c r="N12" s="46" t="n">
        <x:v>580.3</x:v>
      </x:c>
      <x:c r="O12" s="28" t="n">
        <x:v>635</x:v>
      </x:c>
      <x:c r="P12" s="28" t="n">
        <x:v>87200</x:v>
      </x:c>
      <x:c r="Q12" s="28" t="n">
        <x:v>0</x:v>
      </x:c>
      <x:c r="R12" s="28" t="n">
        <x:v>5000</x:v>
      </x:c>
      <x:c r="S12" s="28" t="n">
        <x:v>3100</x:v>
      </x:c>
      <x:c r="T12" s="28" t="n">
        <x:v>3500</x:v>
      </x:c>
      <x:c r="U12" s="28" t="n">
        <x:v>98800</x:v>
      </x:c>
      <x:c r="V12" s="46" t="n">
        <x:v>0</x:v>
      </x:c>
      <x:c r="W12" s="46" t="n">
        <x:v>137.4</x:v>
      </x:c>
      <x:c r="X12" s="46" t="n">
        <x:v>56</x:v>
      </x:c>
      <x:c r="Y12" s="28" t="n">
        <x:f>Z12-U12</x:f>
        <x:v>197700</x:v>
      </x:c>
      <x:c r="Z12" s="28" t="n">
        <x:v>296500</x:v>
      </x:c>
      <x:c r="AA12" s="43" t="n">
        <x:v>9</x:v>
      </x:c>
      <x:c r="AB12" s="43" t="n">
        <x:v>96</x:v>
      </x:c>
      <x:c r="AC12" s="40" t="str">
        <x:v>Cold-chain re-speed blocked; Cold-chain human approval</x:v>
      </x:c>
      <x:c r="AD12" s="40" t="str">
        <x:v>Alternative</x:v>
      </x:c>
      <x:c r="AE12" s="40" t="str">
        <x:v>Increase speed on safe legs to recover schedule.</x:v>
      </x:c>
    </x:row>
    <x:row r="13" ht="15" hidden="0" customHeight="1">
      <x:c r="A13" s="22" t="str">
        <x:v>SF-1002</x:v>
      </x:c>
      <x:c r="B13" s="22" t="str">
        <x:v>Antwerp to Mombasa</x:v>
      </x:c>
      <x:c r="C13" s="22" t="str">
        <x:v>Switch mode</x:v>
      </x:c>
      <x:c r="D13" s="22" t="str">
        <x:v>Yes</x:v>
      </x:c>
      <x:c r="E13" s="22" t="str">
        <x:v>Viable</x:v>
      </x:c>
      <x:c r="F13" s="22" t="str">
        <x:v>Dar es Salaam</x:v>
      </x:c>
      <x:c r="G13" s="22" t="str">
        <x:v>TZDAR</x:v>
      </x:c>
      <x:c r="H13" s="25" t="n">
        <x:v>-6.82</x:v>
      </x:c>
      <x:c r="I13" s="25" t="n">
        <x:v>39.29</x:v>
      </x:c>
      <x:c r="J13" s="34" t="n">
        <x:v>4082</x:v>
      </x:c>
      <x:c r="K13" s="43" t="n">
        <x:v>0.8</x:v>
      </x:c>
      <x:c r="L13" s="46" t="n">
        <x:v>14</x:v>
      </x:c>
      <x:c r="M13" s="46" t="n">
        <x:v>442.9</x:v>
      </x:c>
      <x:c r="N13" s="46" t="n">
        <x:v>478.4</x:v>
      </x:c>
      <x:c r="O13" s="28" t="n">
        <x:v>635</x:v>
      </x:c>
      <x:c r="P13" s="28" t="n">
        <x:v>22500</x:v>
      </x:c>
      <x:c r="Q13" s="28" t="n">
        <x:v>19700</x:v>
      </x:c>
      <x:c r="R13" s="28" t="n">
        <x:v>45000</x:v>
      </x:c>
      <x:c r="S13" s="28" t="n">
        <x:v>9300</x:v>
      </x:c>
      <x:c r="T13" s="28" t="n">
        <x:v>2700</x:v>
      </x:c>
      <x:c r="U13" s="28" t="n">
        <x:v>99200</x:v>
      </x:c>
      <x:c r="V13" s="46" t="n">
        <x:v>1.8</x:v>
      </x:c>
      <x:c r="W13" s="46" t="n">
        <x:v>35.5</x:v>
      </x:c>
      <x:c r="X13" s="46" t="n">
        <x:v>43</x:v>
      </x:c>
      <x:c r="Y13" s="28" t="n">
        <x:f>Z13-U13</x:f>
        <x:v>197300</x:v>
      </x:c>
      <x:c r="Z13" s="28" t="n">
        <x:v>296500</x:v>
      </x:c>
      <x:c r="AA13" s="43" t="n">
        <x:v>9</x:v>
      </x:c>
      <x:c r="AB13" s="43" t="n">
        <x:v>96</x:v>
      </x:c>
      <x:c r="AC13" s="40" t="str">
        <x:v>Cold-chain human approval</x:v>
      </x:c>
      <x:c r="AD13" s="40" t="str">
        <x:v>Recommended - Human review</x:v>
      </x:c>
      <x:c r="AE13" s="40" t="str">
        <x:v>Use an alternative port and protected onward transport.</x:v>
      </x:c>
    </x:row>
    <x:row r="14" ht="24" hidden="0" customHeight="1">
      <x:c r="A14" s="22" t="str">
        <x:v>SF-1002</x:v>
      </x:c>
      <x:c r="B14" s="22" t="str">
        <x:v>Antwerp to Mombasa</x:v>
      </x:c>
      <x:c r="C14" s="22" t="str">
        <x:v>Do nothing</x:v>
      </x:c>
      <x:c r="D14" s="22" t="str">
        <x:v>No</x:v>
      </x:c>
      <x:c r="E14" s="22" t="str">
        <x:v>Baseline</x:v>
      </x:c>
      <x:c r="F14" s="22" t="str">
        <x:v>Not applicable</x:v>
      </x:c>
      <x:c r="G14" s="22" t="str"/>
      <x:c r="H14" s="25"/>
      <x:c r="I14" s="25"/>
      <x:c r="J14" s="34" t="n">
        <x:v>3780</x:v>
      </x:c>
      <x:c r="K14" s="43" t="n">
        <x:v>0</x:v>
      </x:c>
      <x:c r="L14" s="46" t="n">
        <x:v>0</x:v>
      </x:c>
      <x:c r="M14" s="46" t="n">
        <x:v>442.9</x:v>
      </x:c>
      <x:c r="N14" s="46" t="n">
        <x:v>442.9</x:v>
      </x:c>
      <x:c r="O14" s="28" t="n">
        <x:v>635</x:v>
      </x:c>
      <x:c r="P14" s="28" t="n">
        <x:v>0</x:v>
      </x:c>
      <x:c r="Q14" s="28" t="n">
        <x:v>225000</x:v>
      </x:c>
      <x:c r="R14" s="28" t="n">
        <x:v>0</x:v>
      </x:c>
      <x:c r="S14" s="28" t="n">
        <x:v>30100</x:v>
      </x:c>
      <x:c r="T14" s="28" t="n">
        <x:v>41400</x:v>
      </x:c>
      <x:c r="U14" s="28" t="n">
        <x:v>296500</x:v>
      </x:c>
      <x:c r="V14" s="46" t="n">
        <x:v>9</x:v>
      </x:c>
      <x:c r="W14" s="46" t="n">
        <x:v>0</x:v>
      </x:c>
      <x:c r="X14" s="46" t="n">
        <x:v>96</x:v>
      </x:c>
      <x:c r="Y14" s="28" t="n">
        <x:f>Z14-U14</x:f>
        <x:v>0</x:v>
      </x:c>
      <x:c r="Z14" s="28" t="n">
        <x:v>296500</x:v>
      </x:c>
      <x:c r="AA14" s="43" t="n">
        <x:v>9</x:v>
      </x:c>
      <x:c r="AB14" s="43" t="n">
        <x:v>96</x:v>
      </x:c>
      <x:c r="AC14" s="40" t="str">
        <x:v>No recovery action</x:v>
      </x:c>
      <x:c r="AD14" s="40" t="str">
        <x:v>Baseline</x:v>
      </x:c>
      <x:c r="AE14" s="40" t="str">
        <x:v>Estimated exposure includes 9 days of vessel time, cargo risk, and cold-chain exposure.</x:v>
      </x:c>
    </x:row>
    <x:row r="15" ht="15" hidden="0" customHeight="1">
      <x:c r="A15" s="22" t="str">
        <x:v>SF-1003</x:v>
      </x:c>
      <x:c r="B15" s="22" t="str">
        <x:v>Shanghai to Los Angeles</x:v>
      </x:c>
      <x:c r="C15" s="22" t="str">
        <x:v>Reroute</x:v>
      </x:c>
      <x:c r="D15" s="22" t="str">
        <x:v>No</x:v>
      </x:c>
      <x:c r="E15" s="22" t="str">
        <x:v>Viable</x:v>
      </x:c>
      <x:c r="F15" s="22" t="str">
        <x:v>Cape route</x:v>
      </x:c>
      <x:c r="G15" s="22" t="str">
        <x:v>CAPE</x:v>
      </x:c>
      <x:c r="H15" s="25" t="n">
        <x:v>-34.36</x:v>
      </x:c>
      <x:c r="I15" s="25" t="n">
        <x:v>18.47</x:v>
      </x:c>
      <x:c r="J15" s="34" t="n">
        <x:v>6662</x:v>
      </x:c>
      <x:c r="K15" s="43" t="n">
        <x:v>2.6</x:v>
      </x:c>
      <x:c r="L15" s="46" t="n">
        <x:v>46</x:v>
      </x:c>
      <x:c r="M15" s="46" t="n">
        <x:v>661.6</x:v>
      </x:c>
      <x:c r="N15" s="46" t="n">
        <x:v>780.7</x:v>
      </x:c>
      <x:c r="O15" s="28" t="n">
        <x:v>635</x:v>
      </x:c>
      <x:c r="P15" s="28" t="n">
        <x:v>75600</x:v>
      </x:c>
      <x:c r="Q15" s="28" t="n">
        <x:v>66200</x:v>
      </x:c>
      <x:c r="R15" s="28" t="n">
        <x:v>15000</x:v>
      </x:c>
      <x:c r="S15" s="28" t="n">
        <x:v>0</x:v>
      </x:c>
      <x:c r="T15" s="28" t="n">
        <x:v>4500</x:v>
      </x:c>
      <x:c r="U15" s="28" t="n">
        <x:v>161300</x:v>
      </x:c>
      <x:c r="V15" s="46" t="n">
        <x:v>3.1</x:v>
      </x:c>
      <x:c r="W15" s="46" t="n">
        <x:v>119.1</x:v>
      </x:c>
      <x:c r="X15" s="46" t="n">
        <x:v>31</x:v>
      </x:c>
      <x:c r="Y15" s="28" t="n">
        <x:f>Z15-U15</x:f>
        <x:v>156000</x:v>
      </x:c>
      <x:c r="Z15" s="28" t="n">
        <x:v>317300</x:v>
      </x:c>
      <x:c r="AA15" s="43" t="n">
        <x:v>9</x:v>
      </x:c>
      <x:c r="AB15" s="43" t="n">
        <x:v>96</x:v>
      </x:c>
      <x:c r="AC15" s="40" t="str">
        <x:v>Cargo value above $1M</x:v>
      </x:c>
      <x:c r="AD15" s="40" t="str">
        <x:v>Alternative</x:v>
      </x:c>
      <x:c r="AE15" s="40" t="str">
        <x:v>Avoid the disrupted corridor using validated waypoints.</x:v>
      </x:c>
    </x:row>
    <x:row r="16" ht="15" hidden="0" customHeight="1">
      <x:c r="A16" s="22" t="str">
        <x:v>SF-1003</x:v>
      </x:c>
      <x:c r="B16" s="22" t="str">
        <x:v>Shanghai to Los Angeles</x:v>
      </x:c>
      <x:c r="C16" s="22" t="str">
        <x:v>Re-speed</x:v>
      </x:c>
      <x:c r="D16" s="22" t="str">
        <x:v>No</x:v>
      </x:c>
      <x:c r="E16" s="22" t="str">
        <x:v>Viable</x:v>
      </x:c>
      <x:c r="F16" s="22" t="str">
        <x:v>Optimized waypoint</x:v>
      </x:c>
      <x:c r="G16" s="22" t="str">
        <x:v>OPT</x:v>
      </x:c>
      <x:c r="H16" s="25" t="n">
        <x:v>32.485</x:v>
      </x:c>
      <x:c r="I16" s="25" t="n">
        <x:v>1.6000000000000014</x:v>
      </x:c>
      <x:c r="J16" s="34" t="n">
        <x:v>5533</x:v>
      </x:c>
      <x:c r="K16" s="43" t="n">
        <x:v>0</x:v>
      </x:c>
      <x:c r="L16" s="46" t="n">
        <x:v>5</x:v>
      </x:c>
      <x:c r="M16" s="46" t="n">
        <x:v>661.6</x:v>
      </x:c>
      <x:c r="N16" s="46" t="n">
        <x:v>866.9</x:v>
      </x:c>
      <x:c r="O16" s="28" t="n">
        <x:v>635</x:v>
      </x:c>
      <x:c r="P16" s="28" t="n">
        <x:v>130400</x:v>
      </x:c>
      <x:c r="Q16" s="28" t="n">
        <x:v>0</x:v>
      </x:c>
      <x:c r="R16" s="28" t="n">
        <x:v>5000</x:v>
      </x:c>
      <x:c r="S16" s="28" t="n">
        <x:v>0</x:v>
      </x:c>
      <x:c r="T16" s="28" t="n">
        <x:v>7500</x:v>
      </x:c>
      <x:c r="U16" s="28" t="n">
        <x:v>142900</x:v>
      </x:c>
      <x:c r="V16" s="46" t="n">
        <x:v>0</x:v>
      </x:c>
      <x:c r="W16" s="46" t="n">
        <x:v>205.3</x:v>
      </x:c>
      <x:c r="X16" s="46" t="n">
        <x:v>52</x:v>
      </x:c>
      <x:c r="Y16" s="28" t="n">
        <x:f>Z16-U16</x:f>
        <x:v>174400</x:v>
      </x:c>
      <x:c r="Z16" s="28" t="n">
        <x:v>317300</x:v>
      </x:c>
      <x:c r="AA16" s="43" t="n">
        <x:v>9</x:v>
      </x:c>
      <x:c r="AB16" s="43" t="n">
        <x:v>96</x:v>
      </x:c>
      <x:c r="AC16" s="40" t="str">
        <x:v>Cargo value above $1M</x:v>
      </x:c>
      <x:c r="AD16" s="40" t="str">
        <x:v>Alternative</x:v>
      </x:c>
      <x:c r="AE16" s="40" t="str">
        <x:v>Increase speed on safe legs to recover schedule.</x:v>
      </x:c>
    </x:row>
    <x:row r="17" ht="15" hidden="0" customHeight="1">
      <x:c r="A17" s="22" t="str">
        <x:v>SF-1003</x:v>
      </x:c>
      <x:c r="B17" s="22" t="str">
        <x:v>Shanghai to Los Angeles</x:v>
      </x:c>
      <x:c r="C17" s="22" t="str">
        <x:v>Switch mode</x:v>
      </x:c>
      <x:c r="D17" s="22" t="str">
        <x:v>Yes</x:v>
      </x:c>
      <x:c r="E17" s="22" t="str">
        <x:v>Viable</x:v>
      </x:c>
      <x:c r="F17" s="22" t="str">
        <x:v>Long Beach</x:v>
      </x:c>
      <x:c r="G17" s="22" t="str">
        <x:v>USLGB</x:v>
      </x:c>
      <x:c r="H17" s="25" t="n">
        <x:v>33.75</x:v>
      </x:c>
      <x:c r="I17" s="25" t="n">
        <x:v>-118.22</x:v>
      </x:c>
      <x:c r="J17" s="34" t="n">
        <x:v>6098</x:v>
      </x:c>
      <x:c r="K17" s="43" t="n">
        <x:v>1.2</x:v>
      </x:c>
      <x:c r="L17" s="46" t="n">
        <x:v>20</x:v>
      </x:c>
      <x:c r="M17" s="46" t="n">
        <x:v>661.6</x:v>
      </x:c>
      <x:c r="N17" s="46" t="n">
        <x:v>714.6</x:v>
      </x:c>
      <x:c r="O17" s="28" t="n">
        <x:v>635</x:v>
      </x:c>
      <x:c r="P17" s="28" t="n">
        <x:v>33700</x:v>
      </x:c>
      <x:c r="Q17" s="28" t="n">
        <x:v>29400</x:v>
      </x:c>
      <x:c r="R17" s="28" t="n">
        <x:v>45000</x:v>
      </x:c>
      <x:c r="S17" s="28" t="n">
        <x:v>0</x:v>
      </x:c>
      <x:c r="T17" s="28" t="n">
        <x:v>5800</x:v>
      </x:c>
      <x:c r="U17" s="28" t="n">
        <x:v>113900</x:v>
      </x:c>
      <x:c r="V17" s="46" t="n">
        <x:v>2.2</x:v>
      </x:c>
      <x:c r="W17" s="46" t="n">
        <x:v>53</x:v>
      </x:c>
      <x:c r="X17" s="46" t="n">
        <x:v>40</x:v>
      </x:c>
      <x:c r="Y17" s="28" t="n">
        <x:f>Z17-U17</x:f>
        <x:v>203400</x:v>
      </x:c>
      <x:c r="Z17" s="28" t="n">
        <x:v>317300</x:v>
      </x:c>
      <x:c r="AA17" s="43" t="n">
        <x:v>9</x:v>
      </x:c>
      <x:c r="AB17" s="43" t="n">
        <x:v>96</x:v>
      </x:c>
      <x:c r="AC17" s="40" t="str">
        <x:v>Cargo value above $1M</x:v>
      </x:c>
      <x:c r="AD17" s="40" t="str">
        <x:v>Recommended - Human review</x:v>
      </x:c>
      <x:c r="AE17" s="40" t="str">
        <x:v>Use an alternative port and protected onward transport.</x:v>
      </x:c>
    </x:row>
    <x:row r="18" ht="24" hidden="0" customHeight="1">
      <x:c r="A18" s="22" t="str">
        <x:v>SF-1003</x:v>
      </x:c>
      <x:c r="B18" s="22" t="str">
        <x:v>Shanghai to Los Angeles</x:v>
      </x:c>
      <x:c r="C18" s="22" t="str">
        <x:v>Do nothing</x:v>
      </x:c>
      <x:c r="D18" s="22" t="str">
        <x:v>No</x:v>
      </x:c>
      <x:c r="E18" s="22" t="str">
        <x:v>Baseline</x:v>
      </x:c>
      <x:c r="F18" s="22" t="str">
        <x:v>Not applicable</x:v>
      </x:c>
      <x:c r="G18" s="22" t="str"/>
      <x:c r="H18" s="25"/>
      <x:c r="I18" s="25"/>
      <x:c r="J18" s="34" t="n">
        <x:v>5646</x:v>
      </x:c>
      <x:c r="K18" s="43" t="n">
        <x:v>0</x:v>
      </x:c>
      <x:c r="L18" s="46" t="n">
        <x:v>0</x:v>
      </x:c>
      <x:c r="M18" s="46" t="n">
        <x:v>661.6</x:v>
      </x:c>
      <x:c r="N18" s="46" t="n">
        <x:v>661.6</x:v>
      </x:c>
      <x:c r="O18" s="28" t="n">
        <x:v>635</x:v>
      </x:c>
      <x:c r="P18" s="28" t="n">
        <x:v>0</x:v>
      </x:c>
      <x:c r="Q18" s="28" t="n">
        <x:v>225000</x:v>
      </x:c>
      <x:c r="R18" s="28" t="n">
        <x:v>0</x:v>
      </x:c>
      <x:c r="S18" s="28" t="n">
        <x:v>0</x:v>
      </x:c>
      <x:c r="T18" s="28" t="n">
        <x:v>92300</x:v>
      </x:c>
      <x:c r="U18" s="28" t="n">
        <x:v>317300</x:v>
      </x:c>
      <x:c r="V18" s="46" t="n">
        <x:v>9</x:v>
      </x:c>
      <x:c r="W18" s="46" t="n">
        <x:v>0</x:v>
      </x:c>
      <x:c r="X18" s="46" t="n">
        <x:v>96</x:v>
      </x:c>
      <x:c r="Y18" s="28" t="n">
        <x:f>Z18-U18</x:f>
        <x:v>0</x:v>
      </x:c>
      <x:c r="Z18" s="28" t="n">
        <x:v>317300</x:v>
      </x:c>
      <x:c r="AA18" s="43" t="n">
        <x:v>9</x:v>
      </x:c>
      <x:c r="AB18" s="43" t="n">
        <x:v>96</x:v>
      </x:c>
      <x:c r="AC18" s="40" t="str">
        <x:v>No recovery action</x:v>
      </x:c>
      <x:c r="AD18" s="40" t="str">
        <x:v>Baseline</x:v>
      </x:c>
      <x:c r="AE18" s="40" t="str">
        <x:v>Estimated exposure includes 9 days of vessel time, cargo risk, and service-failure exposure.</x:v>
      </x:c>
    </x:row>
    <x:row r="19" ht="15" hidden="0" customHeight="1">
      <x:c r="A19" s="22" t="str">
        <x:v>SF-2041</x:v>
      </x:c>
      <x:c r="B19" s="22" t="str">
        <x:v>Santos to Hamburg</x:v>
      </x:c>
      <x:c r="C19" s="22" t="str">
        <x:v>Reroute</x:v>
      </x:c>
      <x:c r="D19" s="22" t="str">
        <x:v>No</x:v>
      </x:c>
      <x:c r="E19" s="22" t="str">
        <x:v>Viable</x:v>
      </x:c>
      <x:c r="F19" s="22" t="str">
        <x:v>Cape route</x:v>
      </x:c>
      <x:c r="G19" s="22" t="str">
        <x:v>CAPE</x:v>
      </x:c>
      <x:c r="H19" s="25" t="n">
        <x:v>-34.36</x:v>
      </x:c>
      <x:c r="I19" s="25" t="n">
        <x:v>18.47</x:v>
      </x:c>
      <x:c r="J19" s="34" t="n">
        <x:v>6479</x:v>
      </x:c>
      <x:c r="K19" s="43" t="n">
        <x:v>2.6</x:v>
      </x:c>
      <x:c r="L19" s="46" t="n">
        <x:v>44</x:v>
      </x:c>
      <x:c r="M19" s="46" t="n">
        <x:v>643.4</x:v>
      </x:c>
      <x:c r="N19" s="46" t="n">
        <x:v>759.3</x:v>
      </x:c>
      <x:c r="O19" s="28" t="n">
        <x:v>635</x:v>
      </x:c>
      <x:c r="P19" s="28" t="n">
        <x:v>73600</x:v>
      </x:c>
      <x:c r="Q19" s="28" t="n">
        <x:v>64400</x:v>
      </x:c>
      <x:c r="R19" s="28" t="n">
        <x:v>15000</x:v>
      </x:c>
      <x:c r="S19" s="28" t="n">
        <x:v>0</x:v>
      </x:c>
      <x:c r="T19" s="28" t="n">
        <x:v>200</x:v>
      </x:c>
      <x:c r="U19" s="28" t="n">
        <x:v>153200</x:v>
      </x:c>
      <x:c r="V19" s="46" t="n">
        <x:v>3.1</x:v>
      </x:c>
      <x:c r="W19" s="46" t="n">
        <x:v>115.9</x:v>
      </x:c>
      <x:c r="X19" s="46" t="n">
        <x:v>8</x:v>
      </x:c>
      <x:c r="Y19" s="28" t="n">
        <x:f>Z19-U19</x:f>
        <x:v>-45900</x:v>
      </x:c>
      <x:c r="Z19" s="28" t="n">
        <x:v>107300</x:v>
      </x:c>
      <x:c r="AA19" s="43" t="n">
        <x:v>4</x:v>
      </x:c>
      <x:c r="AB19" s="43" t="n">
        <x:v>55</x:v>
      </x:c>
      <x:c r="AC19" s="40" t="str">
        <x:v>None</x:v>
      </x:c>
      <x:c r="AD19" s="40" t="str">
        <x:v>Alternative</x:v>
      </x:c>
      <x:c r="AE19" s="40" t="str">
        <x:v>Avoid the disrupted corridor using validated waypoints.</x:v>
      </x:c>
    </x:row>
    <x:row r="20" ht="15" hidden="0" customHeight="1">
      <x:c r="A20" s="22" t="str">
        <x:v>SF-2041</x:v>
      </x:c>
      <x:c r="B20" s="22" t="str">
        <x:v>Santos to Hamburg</x:v>
      </x:c>
      <x:c r="C20" s="22" t="str">
        <x:v>Re-speed</x:v>
      </x:c>
      <x:c r="D20" s="22" t="str">
        <x:v>No</x:v>
      </x:c>
      <x:c r="E20" s="22" t="str">
        <x:v>Viable</x:v>
      </x:c>
      <x:c r="F20" s="22" t="str">
        <x:v>Optimized waypoint</x:v>
      </x:c>
      <x:c r="G20" s="22" t="str">
        <x:v>OPT</x:v>
      </x:c>
      <x:c r="H20" s="25" t="n">
        <x:v>14.795</x:v>
      </x:c>
      <x:c r="I20" s="25" t="n">
        <x:v>-18.174999999999997</x:v>
      </x:c>
      <x:c r="J20" s="34" t="n">
        <x:v>5381</x:v>
      </x:c>
      <x:c r="K20" s="43" t="n">
        <x:v>0</x:v>
      </x:c>
      <x:c r="L20" s="46" t="n">
        <x:v>5</x:v>
      </x:c>
      <x:c r="M20" s="46" t="n">
        <x:v>643.4</x:v>
      </x:c>
      <x:c r="N20" s="46" t="n">
        <x:v>843</x:v>
      </x:c>
      <x:c r="O20" s="28" t="n">
        <x:v>635</x:v>
      </x:c>
      <x:c r="P20" s="28" t="n">
        <x:v>126700</x:v>
      </x:c>
      <x:c r="Q20" s="28" t="n">
        <x:v>0</x:v>
      </x:c>
      <x:c r="R20" s="28" t="n">
        <x:v>5000</x:v>
      </x:c>
      <x:c r="S20" s="28" t="n">
        <x:v>0</x:v>
      </x:c>
      <x:c r="T20" s="28" t="n">
        <x:v>500</x:v>
      </x:c>
      <x:c r="U20" s="28" t="n">
        <x:v>132200</x:v>
      </x:c>
      <x:c r="V20" s="46" t="n">
        <x:v>0</x:v>
      </x:c>
      <x:c r="W20" s="46" t="n">
        <x:v>199.6</x:v>
      </x:c>
      <x:c r="X20" s="46" t="n">
        <x:v>19</x:v>
      </x:c>
      <x:c r="Y20" s="28" t="n">
        <x:f>Z20-U20</x:f>
        <x:v>-24900</x:v>
      </x:c>
      <x:c r="Z20" s="28" t="n">
        <x:v>107300</x:v>
      </x:c>
      <x:c r="AA20" s="43" t="n">
        <x:v>4</x:v>
      </x:c>
      <x:c r="AB20" s="43" t="n">
        <x:v>55</x:v>
      </x:c>
      <x:c r="AC20" s="40" t="str">
        <x:v>None</x:v>
      </x:c>
      <x:c r="AD20" s="40" t="str">
        <x:v>Alternative</x:v>
      </x:c>
      <x:c r="AE20" s="40" t="str">
        <x:v>Increase speed on safe legs to recover schedule.</x:v>
      </x:c>
    </x:row>
    <x:row r="21" ht="15" hidden="0" customHeight="1">
      <x:c r="A21" s="22" t="str">
        <x:v>SF-2041</x:v>
      </x:c>
      <x:c r="B21" s="22" t="str">
        <x:v>Santos to Hamburg</x:v>
      </x:c>
      <x:c r="C21" s="22" t="str">
        <x:v>Switch mode</x:v>
      </x:c>
      <x:c r="D21" s="22" t="str">
        <x:v>Yes</x:v>
      </x:c>
      <x:c r="E21" s="22" t="str">
        <x:v>Viable</x:v>
      </x:c>
      <x:c r="F21" s="22" t="str">
        <x:v>Hamburg</x:v>
      </x:c>
      <x:c r="G21" s="22" t="str">
        <x:v>DEHAM</x:v>
      </x:c>
      <x:c r="H21" s="25" t="n">
        <x:v>53.54</x:v>
      </x:c>
      <x:c r="I21" s="25" t="n">
        <x:v>9.98</x:v>
      </x:c>
      <x:c r="J21" s="34" t="n">
        <x:v>5930</x:v>
      </x:c>
      <x:c r="K21" s="43" t="n">
        <x:v>1.1</x:v>
      </x:c>
      <x:c r="L21" s="46" t="n">
        <x:v>20</x:v>
      </x:c>
      <x:c r="M21" s="46" t="n">
        <x:v>643.4</x:v>
      </x:c>
      <x:c r="N21" s="46" t="n">
        <x:v>694.9</x:v>
      </x:c>
      <x:c r="O21" s="28" t="n">
        <x:v>635</x:v>
      </x:c>
      <x:c r="P21" s="28" t="n">
        <x:v>32700</x:v>
      </x:c>
      <x:c r="Q21" s="28" t="n">
        <x:v>28600</x:v>
      </x:c>
      <x:c r="R21" s="28" t="n">
        <x:v>45000</x:v>
      </x:c>
      <x:c r="S21" s="28" t="n">
        <x:v>0</x:v>
      </x:c>
      <x:c r="T21" s="28" t="n">
        <x:v>300</x:v>
      </x:c>
      <x:c r="U21" s="28" t="n">
        <x:v>106600</x:v>
      </x:c>
      <x:c r="V21" s="46" t="n">
        <x:v>2.1</x:v>
      </x:c>
      <x:c r="W21" s="46" t="n">
        <x:v>51.5</x:v>
      </x:c>
      <x:c r="X21" s="46" t="n">
        <x:v>14</x:v>
      </x:c>
      <x:c r="Y21" s="28" t="n">
        <x:f>Z21-U21</x:f>
        <x:v>700</x:v>
      </x:c>
      <x:c r="Z21" s="28" t="n">
        <x:v>107300</x:v>
      </x:c>
      <x:c r="AA21" s="43" t="n">
        <x:v>4</x:v>
      </x:c>
      <x:c r="AB21" s="43" t="n">
        <x:v>55</x:v>
      </x:c>
      <x:c r="AC21" s="40" t="str">
        <x:v>None</x:v>
      </x:c>
      <x:c r="AD21" s="40" t="str">
        <x:v>Recommended - Auto commit</x:v>
      </x:c>
      <x:c r="AE21" s="40" t="str">
        <x:v>Use an alternative port and protected onward transport.</x:v>
      </x:c>
    </x:row>
    <x:row r="22" ht="24" hidden="0" customHeight="1">
      <x:c r="A22" s="22" t="str">
        <x:v>SF-2041</x:v>
      </x:c>
      <x:c r="B22" s="22" t="str">
        <x:v>Santos to Hamburg</x:v>
      </x:c>
      <x:c r="C22" s="22" t="str">
        <x:v>Do nothing</x:v>
      </x:c>
      <x:c r="D22" s="22" t="str">
        <x:v>No</x:v>
      </x:c>
      <x:c r="E22" s="22" t="str">
        <x:v>Baseline</x:v>
      </x:c>
      <x:c r="F22" s="22" t="str">
        <x:v>Not applicable</x:v>
      </x:c>
      <x:c r="G22" s="22" t="str"/>
      <x:c r="H22" s="25"/>
      <x:c r="I22" s="25"/>
      <x:c r="J22" s="34" t="n">
        <x:v>5490</x:v>
      </x:c>
      <x:c r="K22" s="43" t="n">
        <x:v>0</x:v>
      </x:c>
      <x:c r="L22" s="46" t="n">
        <x:v>0</x:v>
      </x:c>
      <x:c r="M22" s="46" t="n">
        <x:v>643.4</x:v>
      </x:c>
      <x:c r="N22" s="46" t="n">
        <x:v>643.4</x:v>
      </x:c>
      <x:c r="O22" s="28" t="n">
        <x:v>635</x:v>
      </x:c>
      <x:c r="P22" s="28" t="n">
        <x:v>0</x:v>
      </x:c>
      <x:c r="Q22" s="28" t="n">
        <x:v>100000</x:v>
      </x:c>
      <x:c r="R22" s="28" t="n">
        <x:v>0</x:v>
      </x:c>
      <x:c r="S22" s="28" t="n">
        <x:v>0</x:v>
      </x:c>
      <x:c r="T22" s="28" t="n">
        <x:v>7300</x:v>
      </x:c>
      <x:c r="U22" s="28" t="n">
        <x:v>107300</x:v>
      </x:c>
      <x:c r="V22" s="46" t="n">
        <x:v>4</x:v>
      </x:c>
      <x:c r="W22" s="46" t="n">
        <x:v>0</x:v>
      </x:c>
      <x:c r="X22" s="46" t="n">
        <x:v>55</x:v>
      </x:c>
      <x:c r="Y22" s="28" t="n">
        <x:f>Z22-U22</x:f>
        <x:v>0</x:v>
      </x:c>
      <x:c r="Z22" s="28" t="n">
        <x:v>107300</x:v>
      </x:c>
      <x:c r="AA22" s="43" t="n">
        <x:v>4</x:v>
      </x:c>
      <x:c r="AB22" s="43" t="n">
        <x:v>55</x:v>
      </x:c>
      <x:c r="AC22" s="40" t="str">
        <x:v>No recovery action</x:v>
      </x:c>
      <x:c r="AD22" s="40" t="str">
        <x:v>Baseline</x:v>
      </x:c>
      <x:c r="AE22" s="40" t="str">
        <x:v>Estimated exposure includes 4 days of vessel time, cargo risk, and service-failure exposure.</x:v>
      </x:c>
    </x:row>
    <x:row r="23" ht="15" hidden="0" customHeight="1">
      <x:c r="A23" s="22" t="str">
        <x:v>SF-2042</x:v>
      </x:c>
      <x:c r="B23" s="22" t="str">
        <x:v>Busan to Seattle</x:v>
      </x:c>
      <x:c r="C23" s="22" t="str">
        <x:v>Reroute</x:v>
      </x:c>
      <x:c r="D23" s="22" t="str">
        <x:v>No</x:v>
      </x:c>
      <x:c r="E23" s="22" t="str">
        <x:v>Viable</x:v>
      </x:c>
      <x:c r="F23" s="22" t="str">
        <x:v>Cape route</x:v>
      </x:c>
      <x:c r="G23" s="22" t="str">
        <x:v>CAPE</x:v>
      </x:c>
      <x:c r="H23" s="25" t="n">
        <x:v>-34.36</x:v>
      </x:c>
      <x:c r="I23" s="25" t="n">
        <x:v>18.47</x:v>
      </x:c>
      <x:c r="J23" s="34" t="n">
        <x:v>5357</x:v>
      </x:c>
      <x:c r="K23" s="43" t="n">
        <x:v>2.1</x:v>
      </x:c>
      <x:c r="L23" s="46" t="n">
        <x:v>37</x:v>
      </x:c>
      <x:c r="M23" s="46" t="n">
        <x:v>532</x:v>
      </x:c>
      <x:c r="N23" s="46" t="n">
        <x:v>627.8</x:v>
      </x:c>
      <x:c r="O23" s="28" t="n">
        <x:v>635</x:v>
      </x:c>
      <x:c r="P23" s="28" t="n">
        <x:v>60800</x:v>
      </x:c>
      <x:c r="Q23" s="28" t="n">
        <x:v>53200</x:v>
      </x:c>
      <x:c r="R23" s="28" t="n">
        <x:v>15000</x:v>
      </x:c>
      <x:c r="S23" s="28" t="n">
        <x:v>0</x:v>
      </x:c>
      <x:c r="T23" s="28" t="n">
        <x:v>500</x:v>
      </x:c>
      <x:c r="U23" s="28" t="n">
        <x:v>129500</x:v>
      </x:c>
      <x:c r="V23" s="46" t="n">
        <x:v>2.6</x:v>
      </x:c>
      <x:c r="W23" s="46" t="n">
        <x:v>95.8</x:v>
      </x:c>
      <x:c r="X23" s="46" t="n">
        <x:v>12</x:v>
      </x:c>
      <x:c r="Y23" s="28" t="n">
        <x:f>Z23-U23</x:f>
        <x:v>10500</x:v>
      </x:c>
      <x:c r="Z23" s="28" t="n">
        <x:v>140000</x:v>
      </x:c>
      <x:c r="AA23" s="43" t="n">
        <x:v>5</x:v>
      </x:c>
      <x:c r="AB23" s="43" t="n">
        <x:v>63</x:v>
      </x:c>
      <x:c r="AC23" s="40" t="str">
        <x:v>None</x:v>
      </x:c>
      <x:c r="AD23" s="40" t="str">
        <x:v>Alternative</x:v>
      </x:c>
      <x:c r="AE23" s="40" t="str">
        <x:v>Avoid the disrupted corridor using validated waypoints.</x:v>
      </x:c>
    </x:row>
    <x:row r="24" ht="15" hidden="0" customHeight="1">
      <x:c r="A24" s="22" t="str">
        <x:v>SF-2042</x:v>
      </x:c>
      <x:c r="B24" s="22" t="str">
        <x:v>Busan to Seattle</x:v>
      </x:c>
      <x:c r="C24" s="22" t="str">
        <x:v>Re-speed</x:v>
      </x:c>
      <x:c r="D24" s="22" t="str">
        <x:v>No</x:v>
      </x:c>
      <x:c r="E24" s="22" t="str">
        <x:v>Viable</x:v>
      </x:c>
      <x:c r="F24" s="22" t="str">
        <x:v>Optimized waypoint</x:v>
      </x:c>
      <x:c r="G24" s="22" t="str">
        <x:v>OPT</x:v>
      </x:c>
      <x:c r="H24" s="25" t="n">
        <x:v>41.35</x:v>
      </x:c>
      <x:c r="I24" s="25" t="n">
        <x:v>3.3499999999999943</x:v>
      </x:c>
      <x:c r="J24" s="34" t="n">
        <x:v>4449</x:v>
      </x:c>
      <x:c r="K24" s="43" t="n">
        <x:v>0</x:v>
      </x:c>
      <x:c r="L24" s="46" t="n">
        <x:v>4</x:v>
      </x:c>
      <x:c r="M24" s="46" t="n">
        <x:v>532</x:v>
      </x:c>
      <x:c r="N24" s="46" t="n">
        <x:v>697</x:v>
      </x:c>
      <x:c r="O24" s="28" t="n">
        <x:v>635</x:v>
      </x:c>
      <x:c r="P24" s="28" t="n">
        <x:v>104800</x:v>
      </x:c>
      <x:c r="Q24" s="28" t="n">
        <x:v>0</x:v>
      </x:c>
      <x:c r="R24" s="28" t="n">
        <x:v>5000</x:v>
      </x:c>
      <x:c r="S24" s="28" t="n">
        <x:v>0</x:v>
      </x:c>
      <x:c r="T24" s="28" t="n">
        <x:v>1000</x:v>
      </x:c>
      <x:c r="U24" s="28" t="n">
        <x:v>110800</x:v>
      </x:c>
      <x:c r="V24" s="46" t="n">
        <x:v>0</x:v>
      </x:c>
      <x:c r="W24" s="46" t="n">
        <x:v>165</x:v>
      </x:c>
      <x:c r="X24" s="46" t="n">
        <x:v>25</x:v>
      </x:c>
      <x:c r="Y24" s="28" t="n">
        <x:f>Z24-U24</x:f>
        <x:v>29200</x:v>
      </x:c>
      <x:c r="Z24" s="28" t="n">
        <x:v>140000</x:v>
      </x:c>
      <x:c r="AA24" s="43" t="n">
        <x:v>5</x:v>
      </x:c>
      <x:c r="AB24" s="43" t="n">
        <x:v>63</x:v>
      </x:c>
      <x:c r="AC24" s="40" t="str">
        <x:v>None</x:v>
      </x:c>
      <x:c r="AD24" s="40" t="str">
        <x:v>Alternative</x:v>
      </x:c>
      <x:c r="AE24" s="40" t="str">
        <x:v>Increase speed on safe legs to recover schedule.</x:v>
      </x:c>
    </x:row>
    <x:row r="25" ht="15" hidden="0" customHeight="1">
      <x:c r="A25" s="22" t="str">
        <x:v>SF-2042</x:v>
      </x:c>
      <x:c r="B25" s="22" t="str">
        <x:v>Busan to Seattle</x:v>
      </x:c>
      <x:c r="C25" s="22" t="str">
        <x:v>Switch mode</x:v>
      </x:c>
      <x:c r="D25" s="22" t="str">
        <x:v>Yes</x:v>
      </x:c>
      <x:c r="E25" s="22" t="str">
        <x:v>Viable</x:v>
      </x:c>
      <x:c r="F25" s="22" t="str">
        <x:v>Seattle</x:v>
      </x:c>
      <x:c r="G25" s="22" t="str">
        <x:v>USSEA</x:v>
      </x:c>
      <x:c r="H25" s="25" t="n">
        <x:v>47.6</x:v>
      </x:c>
      <x:c r="I25" s="25" t="n">
        <x:v>-122.34</x:v>
      </x:c>
      <x:c r="J25" s="34" t="n">
        <x:v>4903</x:v>
      </x:c>
      <x:c r="K25" s="43" t="n">
        <x:v>0.9</x:v>
      </x:c>
      <x:c r="L25" s="46" t="n">
        <x:v>16</x:v>
      </x:c>
      <x:c r="M25" s="46" t="n">
        <x:v>532</x:v>
      </x:c>
      <x:c r="N25" s="46" t="n">
        <x:v>574.6</x:v>
      </x:c>
      <x:c r="O25" s="28" t="n">
        <x:v>635</x:v>
      </x:c>
      <x:c r="P25" s="28" t="n">
        <x:v>27100</x:v>
      </x:c>
      <x:c r="Q25" s="28" t="n">
        <x:v>23600</x:v>
      </x:c>
      <x:c r="R25" s="28" t="n">
        <x:v>45000</x:v>
      </x:c>
      <x:c r="S25" s="28" t="n">
        <x:v>0</x:v>
      </x:c>
      <x:c r="T25" s="28" t="n">
        <x:v>800</x:v>
      </x:c>
      <x:c r="U25" s="28" t="n">
        <x:v>96500</x:v>
      </x:c>
      <x:c r="V25" s="46" t="n">
        <x:v>1.9</x:v>
      </x:c>
      <x:c r="W25" s="46" t="n">
        <x:v>42.6</x:v>
      </x:c>
      <x:c r="X25" s="46" t="n">
        <x:v>19</x:v>
      </x:c>
      <x:c r="Y25" s="28" t="n">
        <x:f>Z25-U25</x:f>
        <x:v>43500</x:v>
      </x:c>
      <x:c r="Z25" s="28" t="n">
        <x:v>140000</x:v>
      </x:c>
      <x:c r="AA25" s="43" t="n">
        <x:v>5</x:v>
      </x:c>
      <x:c r="AB25" s="43" t="n">
        <x:v>63</x:v>
      </x:c>
      <x:c r="AC25" s="40" t="str">
        <x:v>None</x:v>
      </x:c>
      <x:c r="AD25" s="40" t="str">
        <x:v>Recommended - Auto commit</x:v>
      </x:c>
      <x:c r="AE25" s="40" t="str">
        <x:v>Use an alternative port and protected onward transport.</x:v>
      </x:c>
    </x:row>
    <x:row r="26" ht="24" hidden="0" customHeight="1">
      <x:c r="A26" s="22" t="str">
        <x:v>SF-2042</x:v>
      </x:c>
      <x:c r="B26" s="22" t="str">
        <x:v>Busan to Seattle</x:v>
      </x:c>
      <x:c r="C26" s="22" t="str">
        <x:v>Do nothing</x:v>
      </x:c>
      <x:c r="D26" s="22" t="str">
        <x:v>No</x:v>
      </x:c>
      <x:c r="E26" s="22" t="str">
        <x:v>Baseline</x:v>
      </x:c>
      <x:c r="F26" s="22" t="str">
        <x:v>Not applicable</x:v>
      </x:c>
      <x:c r="G26" s="22" t="str"/>
      <x:c r="H26" s="25"/>
      <x:c r="I26" s="25"/>
      <x:c r="J26" s="34" t="n">
        <x:v>4540</x:v>
      </x:c>
      <x:c r="K26" s="43" t="n">
        <x:v>0</x:v>
      </x:c>
      <x:c r="L26" s="46" t="n">
        <x:v>0</x:v>
      </x:c>
      <x:c r="M26" s="46" t="n">
        <x:v>532</x:v>
      </x:c>
      <x:c r="N26" s="46" t="n">
        <x:v>532</x:v>
      </x:c>
      <x:c r="O26" s="28" t="n">
        <x:v>635</x:v>
      </x:c>
      <x:c r="P26" s="28" t="n">
        <x:v>0</x:v>
      </x:c>
      <x:c r="Q26" s="28" t="n">
        <x:v>125000</x:v>
      </x:c>
      <x:c r="R26" s="28" t="n">
        <x:v>0</x:v>
      </x:c>
      <x:c r="S26" s="28" t="n">
        <x:v>0</x:v>
      </x:c>
      <x:c r="T26" s="28" t="n">
        <x:v>15000</x:v>
      </x:c>
      <x:c r="U26" s="28" t="n">
        <x:v>140000</x:v>
      </x:c>
      <x:c r="V26" s="46" t="n">
        <x:v>5</x:v>
      </x:c>
      <x:c r="W26" s="46" t="n">
        <x:v>0</x:v>
      </x:c>
      <x:c r="X26" s="46" t="n">
        <x:v>63</x:v>
      </x:c>
      <x:c r="Y26" s="28" t="n">
        <x:f>Z26-U26</x:f>
        <x:v>0</x:v>
      </x:c>
      <x:c r="Z26" s="28" t="n">
        <x:v>140000</x:v>
      </x:c>
      <x:c r="AA26" s="43" t="n">
        <x:v>5</x:v>
      </x:c>
      <x:c r="AB26" s="43" t="n">
        <x:v>63</x:v>
      </x:c>
      <x:c r="AC26" s="40" t="str">
        <x:v>No recovery action</x:v>
      </x:c>
      <x:c r="AD26" s="40" t="str">
        <x:v>Baseline</x:v>
      </x:c>
      <x:c r="AE26" s="40" t="str">
        <x:v>Estimated exposure includes 5 days of vessel time, cargo risk, and service-failure exposure.</x:v>
      </x:c>
    </x:row>
    <x:row r="27" ht="15" hidden="0" customHeight="1">
      <x:c r="A27" s="22" t="str">
        <x:v>SF-2043</x:v>
      </x:c>
      <x:c r="B27" s="22" t="str">
        <x:v>Jebel Ali to Felixstowe</x:v>
      </x:c>
      <x:c r="C27" s="22" t="str">
        <x:v>Reroute</x:v>
      </x:c>
      <x:c r="D27" s="22" t="str">
        <x:v>No</x:v>
      </x:c>
      <x:c r="E27" s="22" t="str">
        <x:v>Viable</x:v>
      </x:c>
      <x:c r="F27" s="22" t="str">
        <x:v>Cape route</x:v>
      </x:c>
      <x:c r="G27" s="22" t="str">
        <x:v>CAPE</x:v>
      </x:c>
      <x:c r="H27" s="25" t="n">
        <x:v>-34.36</x:v>
      </x:c>
      <x:c r="I27" s="25" t="n">
        <x:v>18.47</x:v>
      </x:c>
      <x:c r="J27" s="34" t="n">
        <x:v>3433</x:v>
      </x:c>
      <x:c r="K27" s="43" t="n">
        <x:v>1.4</x:v>
      </x:c>
      <x:c r="L27" s="46" t="n">
        <x:v>24</x:v>
      </x:c>
      <x:c r="M27" s="46" t="n">
        <x:v>340.9</x:v>
      </x:c>
      <x:c r="N27" s="46" t="n">
        <x:v>402.3</x:v>
      </x:c>
      <x:c r="O27" s="28" t="n">
        <x:v>635</x:v>
      </x:c>
      <x:c r="P27" s="28" t="n">
        <x:v>39000</x:v>
      </x:c>
      <x:c r="Q27" s="28" t="n">
        <x:v>34100</x:v>
      </x:c>
      <x:c r="R27" s="28" t="n">
        <x:v>15000</x:v>
      </x:c>
      <x:c r="S27" s="28" t="n">
        <x:v>0</x:v>
      </x:c>
      <x:c r="T27" s="28" t="n">
        <x:v>500</x:v>
      </x:c>
      <x:c r="U27" s="28" t="n">
        <x:v>88600</x:v>
      </x:c>
      <x:c r="V27" s="46" t="n">
        <x:v>1.9</x:v>
      </x:c>
      <x:c r="W27" s="46" t="n">
        <x:v>61.4</x:v>
      </x:c>
      <x:c r="X27" s="46" t="n">
        <x:v>17</x:v>
      </x:c>
      <x:c r="Y27" s="28" t="n">
        <x:f>Z27-U27</x:f>
        <x:v>74700</x:v>
      </x:c>
      <x:c r="Z27" s="28" t="n">
        <x:v>163300</x:v>
      </x:c>
      <x:c r="AA27" s="43" t="n">
        <x:v>6</x:v>
      </x:c>
      <x:c r="AB27" s="43" t="n">
        <x:v>72</x:v>
      </x:c>
      <x:c r="AC27" s="40" t="str">
        <x:v>None</x:v>
      </x:c>
      <x:c r="AD27" s="40" t="str">
        <x:v>Alternative</x:v>
      </x:c>
      <x:c r="AE27" s="40" t="str">
        <x:v>Avoid the disrupted corridor using validated waypoints.</x:v>
      </x:c>
    </x:row>
    <x:row r="28" ht="15" hidden="0" customHeight="1">
      <x:c r="A28" s="22" t="str">
        <x:v>SF-2043</x:v>
      </x:c>
      <x:c r="B28" s="22" t="str">
        <x:v>Jebel Ali to Felixstowe</x:v>
      </x:c>
      <x:c r="C28" s="22" t="str">
        <x:v>Re-speed</x:v>
      </x:c>
      <x:c r="D28" s="22" t="str">
        <x:v>Yes</x:v>
      </x:c>
      <x:c r="E28" s="22" t="str">
        <x:v>Viable</x:v>
      </x:c>
      <x:c r="F28" s="22" t="str">
        <x:v>Optimized waypoint</x:v>
      </x:c>
      <x:c r="G28" s="22" t="str">
        <x:v>OPT</x:v>
      </x:c>
      <x:c r="H28" s="25" t="n">
        <x:v>38.480000000000004</x:v>
      </x:c>
      <x:c r="I28" s="25" t="n">
        <x:v>28.19</x:v>
      </x:c>
      <x:c r="J28" s="34" t="n">
        <x:v>2851</x:v>
      </x:c>
      <x:c r="K28" s="43" t="n">
        <x:v>0</x:v>
      </x:c>
      <x:c r="L28" s="46" t="n">
        <x:v>3</x:v>
      </x:c>
      <x:c r="M28" s="46" t="n">
        <x:v>340.9</x:v>
      </x:c>
      <x:c r="N28" s="46" t="n">
        <x:v>446.7</x:v>
      </x:c>
      <x:c r="O28" s="28" t="n">
        <x:v>635</x:v>
      </x:c>
      <x:c r="P28" s="28" t="n">
        <x:v>67200</x:v>
      </x:c>
      <x:c r="Q28" s="28" t="n">
        <x:v>0</x:v>
      </x:c>
      <x:c r="R28" s="28" t="n">
        <x:v>5000</x:v>
      </x:c>
      <x:c r="S28" s="28" t="n">
        <x:v>0</x:v>
      </x:c>
      <x:c r="T28" s="28" t="n">
        <x:v>1000</x:v>
      </x:c>
      <x:c r="U28" s="28" t="n">
        <x:v>73200</x:v>
      </x:c>
      <x:c r="V28" s="46" t="n">
        <x:v>0</x:v>
      </x:c>
      <x:c r="W28" s="46" t="n">
        <x:v>105.8</x:v>
      </x:c>
      <x:c r="X28" s="46" t="n">
        <x:v>32</x:v>
      </x:c>
      <x:c r="Y28" s="28" t="n">
        <x:f>Z28-U28</x:f>
        <x:v>90100</x:v>
      </x:c>
      <x:c r="Z28" s="28" t="n">
        <x:v>163300</x:v>
      </x:c>
      <x:c r="AA28" s="43" t="n">
        <x:v>6</x:v>
      </x:c>
      <x:c r="AB28" s="43" t="n">
        <x:v>72</x:v>
      </x:c>
      <x:c r="AC28" s="40" t="str">
        <x:v>None</x:v>
      </x:c>
      <x:c r="AD28" s="40" t="str">
        <x:v>Recommended - Auto commit</x:v>
      </x:c>
      <x:c r="AE28" s="40" t="str">
        <x:v>Increase speed on safe legs to recover schedule.</x:v>
      </x:c>
    </x:row>
    <x:row r="29" ht="15" hidden="0" customHeight="1">
      <x:c r="A29" s="22" t="str">
        <x:v>SF-2043</x:v>
      </x:c>
      <x:c r="B29" s="22" t="str">
        <x:v>Jebel Ali to Felixstowe</x:v>
      </x:c>
      <x:c r="C29" s="22" t="str">
        <x:v>Switch mode</x:v>
      </x:c>
      <x:c r="D29" s="22" t="str">
        <x:v>No</x:v>
      </x:c>
      <x:c r="E29" s="22" t="str">
        <x:v>Viable</x:v>
      </x:c>
      <x:c r="F29" s="22" t="str">
        <x:v>Felixstowe</x:v>
      </x:c>
      <x:c r="G29" s="22" t="str">
        <x:v>GBFXT</x:v>
      </x:c>
      <x:c r="H29" s="25" t="n">
        <x:v>51.95</x:v>
      </x:c>
      <x:c r="I29" s="25" t="n">
        <x:v>1.32</x:v>
      </x:c>
      <x:c r="J29" s="34" t="n">
        <x:v>3142</x:v>
      </x:c>
      <x:c r="K29" s="43" t="n">
        <x:v>0.6</x:v>
      </x:c>
      <x:c r="L29" s="46" t="n">
        <x:v>10</x:v>
      </x:c>
      <x:c r="M29" s="46" t="n">
        <x:v>340.9</x:v>
      </x:c>
      <x:c r="N29" s="46" t="n">
        <x:v>368.2</x:v>
      </x:c>
      <x:c r="O29" s="28" t="n">
        <x:v>635</x:v>
      </x:c>
      <x:c r="P29" s="28" t="n">
        <x:v>17300</x:v>
      </x:c>
      <x:c r="Q29" s="28" t="n">
        <x:v>15200</x:v>
      </x:c>
      <x:c r="R29" s="28" t="n">
        <x:v>45000</x:v>
      </x:c>
      <x:c r="S29" s="28" t="n">
        <x:v>0</x:v>
      </x:c>
      <x:c r="T29" s="28" t="n">
        <x:v>700</x:v>
      </x:c>
      <x:c r="U29" s="28" t="n">
        <x:v>78200</x:v>
      </x:c>
      <x:c r="V29" s="46" t="n">
        <x:v>1.6</x:v>
      </x:c>
      <x:c r="W29" s="46" t="n">
        <x:v>27.3</x:v>
      </x:c>
      <x:c r="X29" s="46" t="n">
        <x:v>24</x:v>
      </x:c>
      <x:c r="Y29" s="28" t="n">
        <x:f>Z29-U29</x:f>
        <x:v>85100</x:v>
      </x:c>
      <x:c r="Z29" s="28" t="n">
        <x:v>163300</x:v>
      </x:c>
      <x:c r="AA29" s="43" t="n">
        <x:v>6</x:v>
      </x:c>
      <x:c r="AB29" s="43" t="n">
        <x:v>72</x:v>
      </x:c>
      <x:c r="AC29" s="40" t="str">
        <x:v>None</x:v>
      </x:c>
      <x:c r="AD29" s="40" t="str">
        <x:v>Alternative</x:v>
      </x:c>
      <x:c r="AE29" s="40" t="str">
        <x:v>Use an alternative port and protected onward transport.</x:v>
      </x:c>
    </x:row>
    <x:row r="30" ht="24" hidden="0" customHeight="1">
      <x:c r="A30" s="22" t="str">
        <x:v>SF-2043</x:v>
      </x:c>
      <x:c r="B30" s="22" t="str">
        <x:v>Jebel Ali to Felixstowe</x:v>
      </x:c>
      <x:c r="C30" s="22" t="str">
        <x:v>Do nothing</x:v>
      </x:c>
      <x:c r="D30" s="22" t="str">
        <x:v>No</x:v>
      </x:c>
      <x:c r="E30" s="22" t="str">
        <x:v>Baseline</x:v>
      </x:c>
      <x:c r="F30" s="22" t="str">
        <x:v>Not applicable</x:v>
      </x:c>
      <x:c r="G30" s="22" t="str"/>
      <x:c r="H30" s="25"/>
      <x:c r="I30" s="25"/>
      <x:c r="J30" s="34" t="n">
        <x:v>2909</x:v>
      </x:c>
      <x:c r="K30" s="43" t="n">
        <x:v>0</x:v>
      </x:c>
      <x:c r="L30" s="46" t="n">
        <x:v>0</x:v>
      </x:c>
      <x:c r="M30" s="46" t="n">
        <x:v>340.9</x:v>
      </x:c>
      <x:c r="N30" s="46" t="n">
        <x:v>340.9</x:v>
      </x:c>
      <x:c r="O30" s="28" t="n">
        <x:v>635</x:v>
      </x:c>
      <x:c r="P30" s="28" t="n">
        <x:v>0</x:v>
      </x:c>
      <x:c r="Q30" s="28" t="n">
        <x:v>150000</x:v>
      </x:c>
      <x:c r="R30" s="28" t="n">
        <x:v>0</x:v>
      </x:c>
      <x:c r="S30" s="28" t="n">
        <x:v>0</x:v>
      </x:c>
      <x:c r="T30" s="28" t="n">
        <x:v>13300</x:v>
      </x:c>
      <x:c r="U30" s="28" t="n">
        <x:v>163300</x:v>
      </x:c>
      <x:c r="V30" s="46" t="n">
        <x:v>6</x:v>
      </x:c>
      <x:c r="W30" s="46" t="n">
        <x:v>0</x:v>
      </x:c>
      <x:c r="X30" s="46" t="n">
        <x:v>72</x:v>
      </x:c>
      <x:c r="Y30" s="28" t="n">
        <x:f>Z30-U30</x:f>
        <x:v>0</x:v>
      </x:c>
      <x:c r="Z30" s="28" t="n">
        <x:v>163300</x:v>
      </x:c>
      <x:c r="AA30" s="43" t="n">
        <x:v>6</x:v>
      </x:c>
      <x:c r="AB30" s="43" t="n">
        <x:v>72</x:v>
      </x:c>
      <x:c r="AC30" s="40" t="str">
        <x:v>No recovery action</x:v>
      </x:c>
      <x:c r="AD30" s="40" t="str">
        <x:v>Baseline</x:v>
      </x:c>
      <x:c r="AE30" s="40" t="str">
        <x:v>Estimated exposure includes 6 days of vessel time, cargo risk, and service-failure exposure.</x:v>
      </x:c>
    </x:row>
    <x:row r="31" ht="15" hidden="0" customHeight="1">
      <x:c r="A31" s="22" t="str">
        <x:v>SF-2044</x:v>
      </x:c>
      <x:c r="B31" s="22" t="str">
        <x:v>Valencia to New York</x:v>
      </x:c>
      <x:c r="C31" s="22" t="str">
        <x:v>Reroute</x:v>
      </x:c>
      <x:c r="D31" s="22" t="str">
        <x:v>No</x:v>
      </x:c>
      <x:c r="E31" s="22" t="str">
        <x:v>Viable</x:v>
      </x:c>
      <x:c r="F31" s="22" t="str">
        <x:v>Cape route</x:v>
      </x:c>
      <x:c r="G31" s="22" t="str">
        <x:v>CAPE</x:v>
      </x:c>
      <x:c r="H31" s="25" t="n">
        <x:v>-34.36</x:v>
      </x:c>
      <x:c r="I31" s="25" t="n">
        <x:v>18.47</x:v>
      </x:c>
      <x:c r="J31" s="34" t="n">
        <x:v>3875</x:v>
      </x:c>
      <x:c r="K31" s="43" t="n">
        <x:v>1.5</x:v>
      </x:c>
      <x:c r="L31" s="46" t="n">
        <x:v>27</x:v>
      </x:c>
      <x:c r="M31" s="46" t="n">
        <x:v>384.8</x:v>
      </x:c>
      <x:c r="N31" s="46" t="n">
        <x:v>454.1</x:v>
      </x:c>
      <x:c r="O31" s="28" t="n">
        <x:v>635</x:v>
      </x:c>
      <x:c r="P31" s="28" t="n">
        <x:v>44000</x:v>
      </x:c>
      <x:c r="Q31" s="28" t="n">
        <x:v>38500</x:v>
      </x:c>
      <x:c r="R31" s="28" t="n">
        <x:v>15000</x:v>
      </x:c>
      <x:c r="S31" s="28" t="n">
        <x:v>1900</x:v>
      </x:c>
      <x:c r="T31" s="28" t="n">
        <x:v>300</x:v>
      </x:c>
      <x:c r="U31" s="28" t="n">
        <x:v>99700</x:v>
      </x:c>
      <x:c r="V31" s="46" t="n">
        <x:v>2</x:v>
      </x:c>
      <x:c r="W31" s="46" t="n">
        <x:v>69.3</x:v>
      </x:c>
      <x:c r="X31" s="46" t="n">
        <x:v>15</x:v>
      </x:c>
      <x:c r="Y31" s="28" t="n">
        <x:f>Z31-U31</x:f>
        <x:v>66800</x:v>
      </x:c>
      <x:c r="Z31" s="28" t="n">
        <x:v>166500</x:v>
      </x:c>
      <x:c r="AA31" s="43" t="n">
        <x:v>6</x:v>
      </x:c>
      <x:c r="AB31" s="43" t="n">
        <x:v>68</x:v>
      </x:c>
      <x:c r="AC31" s="40" t="str">
        <x:v>Cold-chain human approval</x:v>
      </x:c>
      <x:c r="AD31" s="40" t="str">
        <x:v>Alternative</x:v>
      </x:c>
      <x:c r="AE31" s="40" t="str">
        <x:v>Avoid the disrupted corridor using validated waypoints.</x:v>
      </x:c>
    </x:row>
    <x:row r="32" ht="24" hidden="0" customHeight="1">
      <x:c r="A32" s="22" t="str">
        <x:v>SF-2044</x:v>
      </x:c>
      <x:c r="B32" s="22" t="str">
        <x:v>Valencia to New York</x:v>
      </x:c>
      <x:c r="C32" s="22" t="str">
        <x:v>Re-speed</x:v>
      </x:c>
      <x:c r="D32" s="22" t="str">
        <x:v>No</x:v>
      </x:c>
      <x:c r="E32" s="22" t="str">
        <x:v>Refused</x:v>
      </x:c>
      <x:c r="F32" s="22" t="str">
        <x:v>Optimized waypoint</x:v>
      </x:c>
      <x:c r="G32" s="22" t="str">
        <x:v>OPT</x:v>
      </x:c>
      <x:c r="H32" s="25" t="n">
        <x:v>40.055</x:v>
      </x:c>
      <x:c r="I32" s="25" t="n">
        <x:v>-37.18</x:v>
      </x:c>
      <x:c r="J32" s="34" t="n">
        <x:v>3218</x:v>
      </x:c>
      <x:c r="K32" s="43" t="n">
        <x:v>0</x:v>
      </x:c>
      <x:c r="L32" s="46" t="n">
        <x:v>3</x:v>
      </x:c>
      <x:c r="M32" s="46" t="n">
        <x:v>384.8</x:v>
      </x:c>
      <x:c r="N32" s="46" t="n">
        <x:v>504.2</x:v>
      </x:c>
      <x:c r="O32" s="28" t="n">
        <x:v>635</x:v>
      </x:c>
      <x:c r="P32" s="28" t="n">
        <x:v>75800</x:v>
      </x:c>
      <x:c r="Q32" s="28" t="n">
        <x:v>0</x:v>
      </x:c>
      <x:c r="R32" s="28" t="n">
        <x:v>5000</x:v>
      </x:c>
      <x:c r="S32" s="28" t="n">
        <x:v>900</x:v>
      </x:c>
      <x:c r="T32" s="28" t="n">
        <x:v>500</x:v>
      </x:c>
      <x:c r="U32" s="28" t="n">
        <x:v>82200</x:v>
      </x:c>
      <x:c r="V32" s="46" t="n">
        <x:v>0</x:v>
      </x:c>
      <x:c r="W32" s="46" t="n">
        <x:v>119.4</x:v>
      </x:c>
      <x:c r="X32" s="46" t="n">
        <x:v>29</x:v>
      </x:c>
      <x:c r="Y32" s="28" t="n">
        <x:f>Z32-U32</x:f>
        <x:v>84300</x:v>
      </x:c>
      <x:c r="Z32" s="28" t="n">
        <x:v>166500</x:v>
      </x:c>
      <x:c r="AA32" s="43" t="n">
        <x:v>6</x:v>
      </x:c>
      <x:c r="AB32" s="43" t="n">
        <x:v>68</x:v>
      </x:c>
      <x:c r="AC32" s="40" t="str">
        <x:v>Cold-chain re-speed blocked; Cold-chain human approval</x:v>
      </x:c>
      <x:c r="AD32" s="40" t="str">
        <x:v>Alternative</x:v>
      </x:c>
      <x:c r="AE32" s="40" t="str">
        <x:v>Increase speed on safe legs to recover schedule.</x:v>
      </x:c>
    </x:row>
    <x:row r="33" ht="15" hidden="0" customHeight="1">
      <x:c r="A33" s="22" t="str">
        <x:v>SF-2044</x:v>
      </x:c>
      <x:c r="B33" s="22" t="str">
        <x:v>Valencia to New York</x:v>
      </x:c>
      <x:c r="C33" s="22" t="str">
        <x:v>Switch mode</x:v>
      </x:c>
      <x:c r="D33" s="22" t="str">
        <x:v>Yes</x:v>
      </x:c>
      <x:c r="E33" s="22" t="str">
        <x:v>Viable</x:v>
      </x:c>
      <x:c r="F33" s="22" t="str">
        <x:v>New York</x:v>
      </x:c>
      <x:c r="G33" s="22" t="str">
        <x:v>USNYC</x:v>
      </x:c>
      <x:c r="H33" s="25" t="n">
        <x:v>40.67</x:v>
      </x:c>
      <x:c r="I33" s="25" t="n">
        <x:v>-74.05</x:v>
      </x:c>
      <x:c r="J33" s="34" t="n">
        <x:v>3546</x:v>
      </x:c>
      <x:c r="K33" s="43" t="n">
        <x:v>0.7</x:v>
      </x:c>
      <x:c r="L33" s="46" t="n">
        <x:v>12</x:v>
      </x:c>
      <x:c r="M33" s="46" t="n">
        <x:v>384.8</x:v>
      </x:c>
      <x:c r="N33" s="46" t="n">
        <x:v>415.5</x:v>
      </x:c>
      <x:c r="O33" s="28" t="n">
        <x:v>635</x:v>
      </x:c>
      <x:c r="P33" s="28" t="n">
        <x:v>19500</x:v>
      </x:c>
      <x:c r="Q33" s="28" t="n">
        <x:v>17100</x:v>
      </x:c>
      <x:c r="R33" s="28" t="n">
        <x:v>45000</x:v>
      </x:c>
      <x:c r="S33" s="28" t="n">
        <x:v>2800</x:v>
      </x:c>
      <x:c r="T33" s="28" t="n">
        <x:v>400</x:v>
      </x:c>
      <x:c r="U33" s="28" t="n">
        <x:v>84800</x:v>
      </x:c>
      <x:c r="V33" s="46" t="n">
        <x:v>1.7</x:v>
      </x:c>
      <x:c r="W33" s="46" t="n">
        <x:v>30.7</x:v>
      </x:c>
      <x:c r="X33" s="46" t="n">
        <x:v>22</x:v>
      </x:c>
      <x:c r="Y33" s="28" t="n">
        <x:f>Z33-U33</x:f>
        <x:v>81700</x:v>
      </x:c>
      <x:c r="Z33" s="28" t="n">
        <x:v>166500</x:v>
      </x:c>
      <x:c r="AA33" s="43" t="n">
        <x:v>6</x:v>
      </x:c>
      <x:c r="AB33" s="43" t="n">
        <x:v>68</x:v>
      </x:c>
      <x:c r="AC33" s="40" t="str">
        <x:v>Cold-chain human approval</x:v>
      </x:c>
      <x:c r="AD33" s="40" t="str">
        <x:v>Recommended - Human review</x:v>
      </x:c>
      <x:c r="AE33" s="40" t="str">
        <x:v>Use an alternative port and protected onward transport.</x:v>
      </x:c>
    </x:row>
    <x:row r="34" ht="24" hidden="0" customHeight="1">
      <x:c r="A34" s="22" t="str">
        <x:v>SF-2044</x:v>
      </x:c>
      <x:c r="B34" s="22" t="str">
        <x:v>Valencia to New York</x:v>
      </x:c>
      <x:c r="C34" s="22" t="str">
        <x:v>Do nothing</x:v>
      </x:c>
      <x:c r="D34" s="22" t="str">
        <x:v>No</x:v>
      </x:c>
      <x:c r="E34" s="22" t="str">
        <x:v>Baseline</x:v>
      </x:c>
      <x:c r="F34" s="22" t="str">
        <x:v>Not applicable</x:v>
      </x:c>
      <x:c r="G34" s="22" t="str"/>
      <x:c r="H34" s="25"/>
      <x:c r="I34" s="25"/>
      <x:c r="J34" s="34" t="n">
        <x:v>3284</x:v>
      </x:c>
      <x:c r="K34" s="43" t="n">
        <x:v>0</x:v>
      </x:c>
      <x:c r="L34" s="46" t="n">
        <x:v>0</x:v>
      </x:c>
      <x:c r="M34" s="46" t="n">
        <x:v>384.8</x:v>
      </x:c>
      <x:c r="N34" s="46" t="n">
        <x:v>384.8</x:v>
      </x:c>
      <x:c r="O34" s="28" t="n">
        <x:v>635</x:v>
      </x:c>
      <x:c r="P34" s="28" t="n">
        <x:v>0</x:v>
      </x:c>
      <x:c r="Q34" s="28" t="n">
        <x:v>150000</x:v>
      </x:c>
      <x:c r="R34" s="28" t="n">
        <x:v>0</x:v>
      </x:c>
      <x:c r="S34" s="28" t="n">
        <x:v>9000</x:v>
      </x:c>
      <x:c r="T34" s="28" t="n">
        <x:v>7500</x:v>
      </x:c>
      <x:c r="U34" s="28" t="n">
        <x:v>166500</x:v>
      </x:c>
      <x:c r="V34" s="46" t="n">
        <x:v>6</x:v>
      </x:c>
      <x:c r="W34" s="46" t="n">
        <x:v>0</x:v>
      </x:c>
      <x:c r="X34" s="46" t="n">
        <x:v>68</x:v>
      </x:c>
      <x:c r="Y34" s="28" t="n">
        <x:f>Z34-U34</x:f>
        <x:v>0</x:v>
      </x:c>
      <x:c r="Z34" s="28" t="n">
        <x:v>166500</x:v>
      </x:c>
      <x:c r="AA34" s="43" t="n">
        <x:v>6</x:v>
      </x:c>
      <x:c r="AB34" s="43" t="n">
        <x:v>68</x:v>
      </x:c>
      <x:c r="AC34" s="40" t="str">
        <x:v>No recovery action</x:v>
      </x:c>
      <x:c r="AD34" s="40" t="str">
        <x:v>Baseline</x:v>
      </x:c>
      <x:c r="AE34" s="40" t="str">
        <x:v>Estimated exposure includes 6 days of vessel time, cargo risk, and cold-chain exposure.</x:v>
      </x:c>
    </x:row>
    <x:row r="35" ht="15" hidden="0" customHeight="1">
      <x:c r="A35" s="22" t="str">
        <x:v>SF-2045</x:v>
      </x:c>
      <x:c r="B35" s="22" t="str">
        <x:v>Chennai to Durban</x:v>
      </x:c>
      <x:c r="C35" s="22" t="str">
        <x:v>Reroute</x:v>
      </x:c>
      <x:c r="D35" s="22" t="str">
        <x:v>No</x:v>
      </x:c>
      <x:c r="E35" s="22" t="str">
        <x:v>Viable</x:v>
      </x:c>
      <x:c r="F35" s="22" t="str">
        <x:v>Cape route</x:v>
      </x:c>
      <x:c r="G35" s="22" t="str">
        <x:v>CAPE</x:v>
      </x:c>
      <x:c r="H35" s="25" t="n">
        <x:v>-34.36</x:v>
      </x:c>
      <x:c r="I35" s="25" t="n">
        <x:v>18.47</x:v>
      </x:c>
      <x:c r="J35" s="34" t="n">
        <x:v>4534</x:v>
      </x:c>
      <x:c r="K35" s="43" t="n">
        <x:v>1.8</x:v>
      </x:c>
      <x:c r="L35" s="46" t="n">
        <x:v>31</x:v>
      </x:c>
      <x:c r="M35" s="46" t="n">
        <x:v>450.3</x:v>
      </x:c>
      <x:c r="N35" s="46" t="n">
        <x:v>531.3</x:v>
      </x:c>
      <x:c r="O35" s="28" t="n">
        <x:v>635</x:v>
      </x:c>
      <x:c r="P35" s="28" t="n">
        <x:v>51400</x:v>
      </x:c>
      <x:c r="Q35" s="28" t="n">
        <x:v>45000</x:v>
      </x:c>
      <x:c r="R35" s="28" t="n">
        <x:v>15000</x:v>
      </x:c>
      <x:c r="S35" s="28" t="n">
        <x:v>0</x:v>
      </x:c>
      <x:c r="T35" s="28" t="n">
        <x:v>0</x:v>
      </x:c>
      <x:c r="U35" s="28" t="n">
        <x:v>111400</x:v>
      </x:c>
      <x:c r="V35" s="46" t="n">
        <x:v>2.3</x:v>
      </x:c>
      <x:c r="W35" s="46" t="n">
        <x:v>81</x:v>
      </x:c>
      <x:c r="X35" s="46" t="n">
        <x:v>5</x:v>
      </x:c>
      <x:c r="Y35" s="28" t="n">
        <x:f>Z35-U35</x:f>
        <x:v>-8900</x:v>
      </x:c>
      <x:c r="Z35" s="28" t="n">
        <x:v>102500</x:v>
      </x:c>
      <x:c r="AA35" s="43" t="n">
        <x:v>4</x:v>
      </x:c>
      <x:c r="AB35" s="43" t="n">
        <x:v>50</x:v>
      </x:c>
      <x:c r="AC35" s="40" t="str">
        <x:v>None</x:v>
      </x:c>
      <x:c r="AD35" s="40" t="str">
        <x:v>Alternative</x:v>
      </x:c>
      <x:c r="AE35" s="40" t="str">
        <x:v>Avoid the disrupted corridor using validated waypoints.</x:v>
      </x:c>
    </x:row>
    <x:row r="36" ht="15" hidden="0" customHeight="1">
      <x:c r="A36" s="22" t="str">
        <x:v>SF-2045</x:v>
      </x:c>
      <x:c r="B36" s="22" t="str">
        <x:v>Chennai to Durban</x:v>
      </x:c>
      <x:c r="C36" s="22" t="str">
        <x:v>Re-speed</x:v>
      </x:c>
      <x:c r="D36" s="22" t="str">
        <x:v>No</x:v>
      </x:c>
      <x:c r="E36" s="22" t="str">
        <x:v>Viable</x:v>
      </x:c>
      <x:c r="F36" s="22" t="str">
        <x:v>Optimized waypoint</x:v>
      </x:c>
      <x:c r="G36" s="22" t="str">
        <x:v>OPT</x:v>
      </x:c>
      <x:c r="H36" s="25" t="n">
        <x:v>-8.39</x:v>
      </x:c>
      <x:c r="I36" s="25" t="n">
        <x:v>55.655</x:v>
      </x:c>
      <x:c r="J36" s="34" t="n">
        <x:v>3766</x:v>
      </x:c>
      <x:c r="K36" s="43" t="n">
        <x:v>0</x:v>
      </x:c>
      <x:c r="L36" s="46" t="n">
        <x:v>3</x:v>
      </x:c>
      <x:c r="M36" s="46" t="n">
        <x:v>450.3</x:v>
      </x:c>
      <x:c r="N36" s="46" t="n">
        <x:v>590</x:v>
      </x:c>
      <x:c r="O36" s="28" t="n">
        <x:v>635</x:v>
      </x:c>
      <x:c r="P36" s="28" t="n">
        <x:v>88700</x:v>
      </x:c>
      <x:c r="Q36" s="28" t="n">
        <x:v>0</x:v>
      </x:c>
      <x:c r="R36" s="28" t="n">
        <x:v>5000</x:v>
      </x:c>
      <x:c r="S36" s="28" t="n">
        <x:v>0</x:v>
      </x:c>
      <x:c r="T36" s="28" t="n">
        <x:v>100</x:v>
      </x:c>
      <x:c r="U36" s="28" t="n">
        <x:v>93800</x:v>
      </x:c>
      <x:c r="V36" s="46" t="n">
        <x:v>0</x:v>
      </x:c>
      <x:c r="W36" s="46" t="n">
        <x:v>139.7</x:v>
      </x:c>
      <x:c r="X36" s="46" t="n">
        <x:v>15</x:v>
      </x:c>
      <x:c r="Y36" s="28" t="n">
        <x:f>Z36-U36</x:f>
        <x:v>8700</x:v>
      </x:c>
      <x:c r="Z36" s="28" t="n">
        <x:v>102500</x:v>
      </x:c>
      <x:c r="AA36" s="43" t="n">
        <x:v>4</x:v>
      </x:c>
      <x:c r="AB36" s="43" t="n">
        <x:v>50</x:v>
      </x:c>
      <x:c r="AC36" s="40" t="str">
        <x:v>None</x:v>
      </x:c>
      <x:c r="AD36" s="40" t="str">
        <x:v>Alternative</x:v>
      </x:c>
      <x:c r="AE36" s="40" t="str">
        <x:v>Increase speed on safe legs to recover schedule.</x:v>
      </x:c>
    </x:row>
    <x:row r="37" ht="15" hidden="0" customHeight="1">
      <x:c r="A37" s="22" t="str">
        <x:v>SF-2045</x:v>
      </x:c>
      <x:c r="B37" s="22" t="str">
        <x:v>Chennai to Durban</x:v>
      </x:c>
      <x:c r="C37" s="22" t="str">
        <x:v>Switch mode</x:v>
      </x:c>
      <x:c r="D37" s="22" t="str">
        <x:v>Yes</x:v>
      </x:c>
      <x:c r="E37" s="22" t="str">
        <x:v>Viable</x:v>
      </x:c>
      <x:c r="F37" s="22" t="str">
        <x:v>Durban</x:v>
      </x:c>
      <x:c r="G37" s="22" t="str">
        <x:v>ZADUR</x:v>
      </x:c>
      <x:c r="H37" s="25" t="n">
        <x:v>-29.87</x:v>
      </x:c>
      <x:c r="I37" s="25" t="n">
        <x:v>31.02</x:v>
      </x:c>
      <x:c r="J37" s="34" t="n">
        <x:v>4150</x:v>
      </x:c>
      <x:c r="K37" s="43" t="n">
        <x:v>0.8</x:v>
      </x:c>
      <x:c r="L37" s="46" t="n">
        <x:v>14</x:v>
      </x:c>
      <x:c r="M37" s="46" t="n">
        <x:v>450.3</x:v>
      </x:c>
      <x:c r="N37" s="46" t="n">
        <x:v>486.3</x:v>
      </x:c>
      <x:c r="O37" s="28" t="n">
        <x:v>635</x:v>
      </x:c>
      <x:c r="P37" s="28" t="n">
        <x:v>22900</x:v>
      </x:c>
      <x:c r="Q37" s="28" t="n">
        <x:v>20000</x:v>
      </x:c>
      <x:c r="R37" s="28" t="n">
        <x:v>45000</x:v>
      </x:c>
      <x:c r="S37" s="28" t="n">
        <x:v>0</x:v>
      </x:c>
      <x:c r="T37" s="28" t="n">
        <x:v>100</x:v>
      </x:c>
      <x:c r="U37" s="28" t="n">
        <x:v>88000</x:v>
      </x:c>
      <x:c r="V37" s="46" t="n">
        <x:v>1.8</x:v>
      </x:c>
      <x:c r="W37" s="46" t="n">
        <x:v>36</x:v>
      </x:c>
      <x:c r="X37" s="46" t="n">
        <x:v>11</x:v>
      </x:c>
      <x:c r="Y37" s="28" t="n">
        <x:f>Z37-U37</x:f>
        <x:v>14500</x:v>
      </x:c>
      <x:c r="Z37" s="28" t="n">
        <x:v>102500</x:v>
      </x:c>
      <x:c r="AA37" s="43" t="n">
        <x:v>4</x:v>
      </x:c>
      <x:c r="AB37" s="43" t="n">
        <x:v>50</x:v>
      </x:c>
      <x:c r="AC37" s="40" t="str">
        <x:v>None</x:v>
      </x:c>
      <x:c r="AD37" s="40" t="str">
        <x:v>Recommended - Auto commit</x:v>
      </x:c>
      <x:c r="AE37" s="40" t="str">
        <x:v>Use an alternative port and protected onward transport.</x:v>
      </x:c>
    </x:row>
    <x:row r="38" ht="24" hidden="0" customHeight="1">
      <x:c r="A38" s="23" t="str">
        <x:v>SF-2045</x:v>
      </x:c>
      <x:c r="B38" s="23" t="str">
        <x:v>Chennai to Durban</x:v>
      </x:c>
      <x:c r="C38" s="23" t="str">
        <x:v>Do nothing</x:v>
      </x:c>
      <x:c r="D38" s="23" t="str">
        <x:v>No</x:v>
      </x:c>
      <x:c r="E38" s="23" t="str">
        <x:v>Baseline</x:v>
      </x:c>
      <x:c r="F38" s="23" t="str">
        <x:v>Not applicable</x:v>
      </x:c>
      <x:c r="G38" s="23" t="str"/>
      <x:c r="H38" s="26"/>
      <x:c r="I38" s="26"/>
      <x:c r="J38" s="35" t="n">
        <x:v>3843</x:v>
      </x:c>
      <x:c r="K38" s="44" t="n">
        <x:v>0</x:v>
      </x:c>
      <x:c r="L38" s="47" t="n">
        <x:v>0</x:v>
      </x:c>
      <x:c r="M38" s="47" t="n">
        <x:v>450.3</x:v>
      </x:c>
      <x:c r="N38" s="47" t="n">
        <x:v>450.3</x:v>
      </x:c>
      <x:c r="O38" s="29" t="n">
        <x:v>635</x:v>
      </x:c>
      <x:c r="P38" s="29" t="n">
        <x:v>0</x:v>
      </x:c>
      <x:c r="Q38" s="29" t="n">
        <x:v>100000</x:v>
      </x:c>
      <x:c r="R38" s="29" t="n">
        <x:v>0</x:v>
      </x:c>
      <x:c r="S38" s="29" t="n">
        <x:v>0</x:v>
      </x:c>
      <x:c r="T38" s="29" t="n">
        <x:v>2500</x:v>
      </x:c>
      <x:c r="U38" s="29" t="n">
        <x:v>102500</x:v>
      </x:c>
      <x:c r="V38" s="47" t="n">
        <x:v>4</x:v>
      </x:c>
      <x:c r="W38" s="47" t="n">
        <x:v>0</x:v>
      </x:c>
      <x:c r="X38" s="47" t="n">
        <x:v>50</x:v>
      </x:c>
      <x:c r="Y38" s="29" t="n">
        <x:f>Z38-U38</x:f>
        <x:v>0</x:v>
      </x:c>
      <x:c r="Z38" s="29" t="n">
        <x:v>102500</x:v>
      </x:c>
      <x:c r="AA38" s="44" t="n">
        <x:v>4</x:v>
      </x:c>
      <x:c r="AB38" s="44" t="n">
        <x:v>50</x:v>
      </x:c>
      <x:c r="AC38" s="41" t="str">
        <x:v>No recovery action</x:v>
      </x:c>
      <x:c r="AD38" s="41" t="str">
        <x:v>Baseline</x:v>
      </x:c>
      <x:c r="AE38" s="41" t="str">
        <x:v>Estimated exposure includes 4 days of vessel time, cargo risk, and service-failure exposure.</x:v>
      </x:c>
    </x:row>
  </x:sheetData>
  <x:conditionalFormatting sqref="E7:E38">
    <x:cfRule type="containsText" dxfId="0" priority="1" operator="containsText" text="Refused"/>
  </x:conditionalFormatting>
  <x:conditionalFormatting sqref="AD7:AD38">
    <x:cfRule type="containsText" dxfId="1" priority="2" operator="containsText" text="Human review"/>
    <x:cfRule type="containsText" dxfId="2" priority="3" operator="containsText" text="Auto commit"/>
  </x:conditionalFormatting>
  <x:conditionalFormatting sqref="X7:X38">
    <x:cfRule type="colorScale" priority="4">
      <x:colorScale>
        <x:cfvo type="min"/>
        <x:cfvo type="percentile" val="50"/>
        <x:cfvo type="max"/>
        <x:color rgb="FFDDF3EB"/>
        <x:color rgb="FFF4B942"/>
        <x:color rgb="FFE56B6F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596B3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.25" hidden="0" customWidth="1"/>
    <x:col min="2" max="2" width="7.630000114440918" hidden="0" customWidth="1"/>
    <x:col min="3" max="3" width="9.880000114440918" hidden="0" customWidth="1"/>
    <x:col min="4" max="4" width="11.880000114440918" hidden="0" customWidth="1"/>
    <x:col min="5" max="5" width="13.380000114440918" hidden="0" customWidth="1"/>
    <x:col min="6" max="6" width="9.75" hidden="0" customWidth="1"/>
    <x:col min="7" max="7" width="14" hidden="0" customWidth="1"/>
    <x:col min="8" max="8" width="16" hidden="0" customWidth="1"/>
    <x:col min="9" max="9" width="17.6299991607666" hidden="0" customWidth="1"/>
    <x:col min="10" max="10" width="13" hidden="0" customWidth="1"/>
    <x:col min="11" max="11" width="14.5" hidden="0" customWidth="1"/>
    <x:col min="12" max="12" width="25" hidden="0" customWidth="1"/>
    <x:col min="13" max="13" width="22" hidden="0" customWidth="1"/>
    <x:col min="14" max="14" width="15.25" hidden="0" customWidth="1"/>
    <x:col min="15" max="15" width="5.5" hidden="0" customWidth="1"/>
    <x:col min="16" max="16" width="10.880000114440918" hidden="0" customWidth="1"/>
    <x:col min="17" max="17" width="18.75" hidden="0" customWidth="1"/>
    <x:col min="18" max="18" width="13.75" hidden="0" customWidth="1"/>
    <x:col min="19" max="19" width="12.25" hidden="0" customWidth="1"/>
    <x:col min="20" max="20" width="9.130000114440918" hidden="0" customWidth="1"/>
    <x:col min="21" max="21" width="42" hidden="0" customWidth="1"/>
    <x:col min="22" max="22" width="15.25" hidden="0" customWidth="1"/>
  </x:cols>
  <x:sheetData>
    <x:row r="2">
      <x:c r="A2" s="1" t="str">
        <x:v>Sentinel Flash route dataset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6"/>
      <x:c r="P2" s="76"/>
      <x:c r="Q2" s="76"/>
      <x:c r="R2" s="76"/>
      <x:c r="S2" s="76"/>
      <x:c r="T2" s="76"/>
      <x:c r="U2" s="76"/>
      <x:c r="V2" s="76"/>
    </x:row>
    <x:row r="3">
      <x:c r="A3" s="2" t="str">
        <x:v>Project shipment records and baseline route calculations as of 14 September 2026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76"/>
      <x:c r="M3" s="76"/>
      <x:c r="N3" s="76"/>
      <x:c r="O3" s="76"/>
      <x:c r="P3" s="76"/>
      <x:c r="Q3" s="76"/>
      <x:c r="R3" s="76"/>
      <x:c r="S3" s="76"/>
      <x:c r="T3" s="76"/>
      <x:c r="U3" s="76"/>
      <x:c r="V3" s="76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</x:row>
    <x:row r="5">
      <x:c r="A5" s="76"/>
      <x:c r="B5" s="76"/>
      <x:c r="C5" s="76"/>
      <x:c r="D5" s="76"/>
      <x:c r="E5" s="76"/>
      <x:c r="F5" s="76"/>
      <x:c r="G5" s="76"/>
      <x:c r="H5" s="76"/>
      <x:c r="I5" s="76"/>
      <x:c r="J5" s="76"/>
      <x:c r="K5" s="76"/>
      <x:c r="L5" s="76"/>
      <x:c r="M5" s="76"/>
      <x:c r="N5" s="76"/>
      <x:c r="O5" s="76"/>
      <x:c r="P5" s="76"/>
      <x:c r="Q5" s="76"/>
      <x:c r="R5" s="76"/>
      <x:c r="S5" s="76"/>
      <x:c r="T5" s="76"/>
      <x:c r="U5" s="76"/>
      <x:c r="V5" s="76"/>
    </x:row>
    <x:row r="6" ht="15" hidden="0" customHeight="1">
      <x:c r="A6" s="14" t="str">
        <x:v>Shipment ID</x:v>
      </x:c>
      <x:c r="B6" s="15" t="str">
        <x:v>Origin</x:v>
      </x:c>
      <x:c r="C6" s="15" t="str">
        <x:v>Origin code</x:v>
      </x:c>
      <x:c r="D6" s="15" t="str">
        <x:v>Origin latitude</x:v>
      </x:c>
      <x:c r="E6" s="15" t="str">
        <x:v>Origin longitude</x:v>
      </x:c>
      <x:c r="F6" s="15" t="str">
        <x:v>Destination</x:v>
      </x:c>
      <x:c r="G6" s="15" t="str">
        <x:v>Destination code</x:v>
      </x:c>
      <x:c r="H6" s="15" t="str">
        <x:v>Destination latitude</x:v>
      </x:c>
      <x:c r="I6" s="15" t="str">
        <x:v>Destination longitude</x:v>
      </x:c>
      <x:c r="J6" s="15" t="str">
        <x:v>Current latitude</x:v>
      </x:c>
      <x:c r="K6" s="15" t="str">
        <x:v>Current longitude</x:v>
      </x:c>
      <x:c r="L6" s="15" t="str">
        <x:v>Cargo</x:v>
      </x:c>
      <x:c r="M6" s="15" t="str">
        <x:v>Vessel</x:v>
      </x:c>
      <x:c r="N6" s="15" t="str">
        <x:v>Cargo value (USD)</x:v>
      </x:c>
      <x:c r="O6" s="15" t="str">
        <x:v>Mode</x:v>
      </x:c>
      <x:c r="P6" s="15" t="str">
        <x:v>Baseline risk</x:v>
      </x:c>
      <x:c r="Q6" s="15" t="str">
        <x:v>Baseline distance (NM)</x:v>
      </x:c>
      <x:c r="R6" s="15" t="str">
        <x:v>ETA (UTC)</x:v>
      </x:c>
      <x:c r="S6" s="15" t="str">
        <x:v>Original status</x:v>
      </x:c>
      <x:c r="T6" s="15" t="str">
        <x:v>Cold chain</x:v>
      </x:c>
      <x:c r="U6" s="15" t="str">
        <x:v>Constraints</x:v>
      </x:c>
      <x:c r="V6" s="16" t="str">
        <x:v>Presentation route</x:v>
      </x:c>
    </x:row>
    <x:row r="7" ht="15" hidden="0" customHeight="1">
      <x:c r="A7" s="21" t="str">
        <x:v>SF-1001</x:v>
      </x:c>
      <x:c r="B7" s="21" t="str">
        <x:v>Ningbo</x:v>
      </x:c>
      <x:c r="C7" s="21" t="str">
        <x:v>CNNGB</x:v>
      </x:c>
      <x:c r="D7" s="24" t="n">
        <x:v>29.87</x:v>
      </x:c>
      <x:c r="E7" s="24" t="n">
        <x:v>121.54</x:v>
      </x:c>
      <x:c r="F7" s="24" t="str">
        <x:v>Rotterdam</x:v>
      </x:c>
      <x:c r="G7" s="24" t="str">
        <x:v>NLRTM</x:v>
      </x:c>
      <x:c r="H7" s="24" t="n">
        <x:v>51.95</x:v>
      </x:c>
      <x:c r="I7" s="24" t="n">
        <x:v>4.14</x:v>
      </x:c>
      <x:c r="J7" s="24" t="n">
        <x:v>12.4</x:v>
      </x:c>
      <x:c r="K7" s="24" t="n">
        <x:v>60.2</x:v>
      </x:c>
      <x:c r="L7" s="21" t="str">
        <x:v>Consumer electronics</x:v>
      </x:c>
      <x:c r="M7" s="21" t="str">
        <x:v>MV Hanjin Meridian</x:v>
      </x:c>
      <x:c r="N7" s="27" t="n">
        <x:v>180000</x:v>
      </x:c>
      <x:c r="O7" s="21" t="str">
        <x:v>Ocean</x:v>
      </x:c>
      <x:c r="P7" s="30" t="n">
        <x:v>38</x:v>
      </x:c>
      <x:c r="Q7" s="33" t="n">
        <x:v>4899</x:v>
      </x:c>
      <x:c r="R7" s="36" t="n">
        <x:v>46294</x:v>
      </x:c>
      <x:c r="S7" s="21" t="str">
        <x:v>Monitoring</x:v>
      </x:c>
      <x:c r="T7" s="21" t="str">
        <x:v>No</x:v>
      </x:c>
      <x:c r="U7" s="39" t="str">
        <x:v>Contractual delivery window: 5 days float</x:v>
      </x:c>
      <x:c r="V7" s="21" t="str">
        <x:v>Yes</x:v>
      </x:c>
    </x:row>
    <x:row r="8" ht="24" hidden="0" customHeight="1">
      <x:c r="A8" s="22" t="str">
        <x:v>SF-1002</x:v>
      </x:c>
      <x:c r="B8" s="22" t="str">
        <x:v>Antwerp</x:v>
      </x:c>
      <x:c r="C8" s="22" t="str">
        <x:v>BEANR</x:v>
      </x:c>
      <x:c r="D8" s="25" t="n">
        <x:v>51.26</x:v>
      </x:c>
      <x:c r="E8" s="25" t="n">
        <x:v>4.4</x:v>
      </x:c>
      <x:c r="F8" s="25" t="str">
        <x:v>Mombasa</x:v>
      </x:c>
      <x:c r="G8" s="25" t="str">
        <x:v>KEMBA</x:v>
      </x:c>
      <x:c r="H8" s="25" t="n">
        <x:v>-4.04</x:v>
      </x:c>
      <x:c r="I8" s="25" t="n">
        <x:v>39.66</x:v>
      </x:c>
      <x:c r="J8" s="25" t="n">
        <x:v>31.2</x:v>
      </x:c>
      <x:c r="K8" s="25" t="n">
        <x:v>18.9</x:v>
      </x:c>
      <x:c r="L8" s="22" t="str">
        <x:v>Vaccines (2–8 °C)</x:v>
      </x:c>
      <x:c r="M8" s="22" t="str">
        <x:v>MV Scheldt Carrier</x:v>
      </x:c>
      <x:c r="N8" s="28" t="n">
        <x:v>620000</x:v>
      </x:c>
      <x:c r="O8" s="22" t="str">
        <x:v>Ocean</x:v>
      </x:c>
      <x:c r="P8" s="31" t="n">
        <x:v>61</x:v>
      </x:c>
      <x:c r="Q8" s="34" t="n">
        <x:v>3780</x:v>
      </x:c>
      <x:c r="R8" s="37" t="n">
        <x:v>46290</x:v>
      </x:c>
      <x:c r="S8" s="22" t="str">
        <x:v>Monitoring</x:v>
      </x:c>
      <x:c r="T8" s="22" t="str">
        <x:v>Yes</x:v>
      </x:c>
      <x:c r="U8" s="40" t="str">
        <x:v>Continuous 2–8 °C reefer custody; GDP-certified handling at every transhipment</x:v>
      </x:c>
      <x:c r="V8" s="22" t="str">
        <x:v>Yes</x:v>
      </x:c>
    </x:row>
    <x:row r="9" ht="15" hidden="0" customHeight="1">
      <x:c r="A9" s="22" t="str">
        <x:v>SF-1003</x:v>
      </x:c>
      <x:c r="B9" s="22" t="str">
        <x:v>Shanghai</x:v>
      </x:c>
      <x:c r="C9" s="22" t="str">
        <x:v>CNSHA</x:v>
      </x:c>
      <x:c r="D9" s="25" t="n">
        <x:v>31.23</x:v>
      </x:c>
      <x:c r="E9" s="25" t="n">
        <x:v>121.47</x:v>
      </x:c>
      <x:c r="F9" s="25" t="str">
        <x:v>Los Angeles</x:v>
      </x:c>
      <x:c r="G9" s="25" t="str">
        <x:v>USLAX</x:v>
      </x:c>
      <x:c r="H9" s="25" t="n">
        <x:v>33.74</x:v>
      </x:c>
      <x:c r="I9" s="25" t="n">
        <x:v>-118.27</x:v>
      </x:c>
      <x:c r="J9" s="25" t="n">
        <x:v>34.8</x:v>
      </x:c>
      <x:c r="K9" s="25" t="n">
        <x:v>168.4</x:v>
      </x:c>
      <x:c r="L9" s="22" t="str">
        <x:v>Bulk pharma ingredients (API)</x:v>
      </x:c>
      <x:c r="M9" s="22" t="str">
        <x:v>MV Pacific Ridge</x:v>
      </x:c>
      <x:c r="N9" s="28" t="n">
        <x:v>1450000</x:v>
      </x:c>
      <x:c r="O9" s="22" t="str">
        <x:v>Ocean</x:v>
      </x:c>
      <x:c r="P9" s="31" t="n">
        <x:v>57</x:v>
      </x:c>
      <x:c r="Q9" s="34" t="n">
        <x:v>5646</x:v>
      </x:c>
      <x:c r="R9" s="37" t="n">
        <x:v>46292</x:v>
      </x:c>
      <x:c r="S9" s="22" t="str">
        <x:v>Monitoring</x:v>
      </x:c>
      <x:c r="T9" s="22" t="str">
        <x:v>No</x:v>
      </x:c>
      <x:c r="U9" s="40" t="str">
        <x:v>Regulated substance: customs pre-clearance required</x:v>
      </x:c>
      <x:c r="V9" s="22" t="str">
        <x:v>Yes</x:v>
      </x:c>
    </x:row>
    <x:row r="10" ht="15" hidden="0" customHeight="1">
      <x:c r="A10" s="22" t="str">
        <x:v>SF-2041</x:v>
      </x:c>
      <x:c r="B10" s="22" t="str">
        <x:v>Santos</x:v>
      </x:c>
      <x:c r="C10" s="22" t="str">
        <x:v>BRSSZ</x:v>
      </x:c>
      <x:c r="D10" s="25" t="n">
        <x:v>-23.95</x:v>
      </x:c>
      <x:c r="E10" s="25" t="n">
        <x:v>-46.33</x:v>
      </x:c>
      <x:c r="F10" s="25" t="str">
        <x:v>Hamburg</x:v>
      </x:c>
      <x:c r="G10" s="25" t="str">
        <x:v>DEHAM</x:v>
      </x:c>
      <x:c r="H10" s="25" t="n">
        <x:v>53.54</x:v>
      </x:c>
      <x:c r="I10" s="25" t="n">
        <x:v>9.98</x:v>
      </x:c>
      <x:c r="J10" s="25" t="n">
        <x:v>5.2</x:v>
      </x:c>
      <x:c r="K10" s="25" t="n">
        <x:v>-28.4</x:v>
      </x:c>
      <x:c r="L10" s="22" t="str">
        <x:v>Green coffee</x:v>
      </x:c>
      <x:c r="M10" s="22" t="str">
        <x:v>MV Atlantic Vale</x:v>
      </x:c>
      <x:c r="N10" s="28" t="n">
        <x:v>240000</x:v>
      </x:c>
      <x:c r="O10" s="22" t="str">
        <x:v>Ocean</x:v>
      </x:c>
      <x:c r="P10" s="31" t="n">
        <x:v>14</x:v>
      </x:c>
      <x:c r="Q10" s="34" t="n">
        <x:v>5490</x:v>
      </x:c>
      <x:c r="R10" s="37" t="n">
        <x:v>46297.375</x:v>
      </x:c>
      <x:c r="S10" s="22" t="str">
        <x:v>On track</x:v>
      </x:c>
      <x:c r="T10" s="22" t="str">
        <x:v>No</x:v>
      </x:c>
      <x:c r="U10" s="40" t="str">
        <x:v>None</x:v>
      </x:c>
      <x:c r="V10" s="22" t="str">
        <x:v>No</x:v>
      </x:c>
    </x:row>
    <x:row r="11" ht="15" hidden="0" customHeight="1">
      <x:c r="A11" s="22" t="str">
        <x:v>SF-2042</x:v>
      </x:c>
      <x:c r="B11" s="22" t="str">
        <x:v>Busan</x:v>
      </x:c>
      <x:c r="C11" s="22" t="str">
        <x:v>KRPUS</x:v>
      </x:c>
      <x:c r="D11" s="25" t="n">
        <x:v>35.1</x:v>
      </x:c>
      <x:c r="E11" s="25" t="n">
        <x:v>129.04</x:v>
      </x:c>
      <x:c r="F11" s="25" t="str">
        <x:v>Seattle</x:v>
      </x:c>
      <x:c r="G11" s="25" t="str">
        <x:v>USSEA</x:v>
      </x:c>
      <x:c r="H11" s="25" t="n">
        <x:v>47.6</x:v>
      </x:c>
      <x:c r="I11" s="25" t="n">
        <x:v>-122.34</x:v>
      </x:c>
      <x:c r="J11" s="25" t="n">
        <x:v>44.1</x:v>
      </x:c>
      <x:c r="K11" s="25" t="n">
        <x:v>-172.6</x:v>
      </x:c>
      <x:c r="L11" s="22" t="str">
        <x:v>Automotive components</x:v>
      </x:c>
      <x:c r="M11" s="22" t="str">
        <x:v>MV Dongbaek</x:v>
      </x:c>
      <x:c r="N11" s="28" t="n">
        <x:v>410000</x:v>
      </x:c>
      <x:c r="O11" s="22" t="str">
        <x:v>Ocean</x:v>
      </x:c>
      <x:c r="P11" s="31" t="n">
        <x:v>22</x:v>
      </x:c>
      <x:c r="Q11" s="34" t="n">
        <x:v>4540</x:v>
      </x:c>
      <x:c r="R11" s="37" t="n">
        <x:v>46287.5</x:v>
      </x:c>
      <x:c r="S11" s="22" t="str">
        <x:v>On track</x:v>
      </x:c>
      <x:c r="T11" s="22" t="str">
        <x:v>No</x:v>
      </x:c>
      <x:c r="U11" s="40" t="str">
        <x:v>None</x:v>
      </x:c>
      <x:c r="V11" s="22" t="str">
        <x:v>No</x:v>
      </x:c>
    </x:row>
    <x:row r="12" ht="15" hidden="0" customHeight="1">
      <x:c r="A12" s="22" t="str">
        <x:v>SF-2043</x:v>
      </x:c>
      <x:c r="B12" s="22" t="str">
        <x:v>Jebel Ali</x:v>
      </x:c>
      <x:c r="C12" s="22" t="str">
        <x:v>AEJEA</x:v>
      </x:c>
      <x:c r="D12" s="25" t="n">
        <x:v>25.01</x:v>
      </x:c>
      <x:c r="E12" s="25" t="n">
        <x:v>55.06</x:v>
      </x:c>
      <x:c r="F12" s="25" t="str">
        <x:v>Felixstowe</x:v>
      </x:c>
      <x:c r="G12" s="25" t="str">
        <x:v>GBFXT</x:v>
      </x:c>
      <x:c r="H12" s="25" t="n">
        <x:v>51.95</x:v>
      </x:c>
      <x:c r="I12" s="25" t="n">
        <x:v>1.32</x:v>
      </x:c>
      <x:c r="J12" s="25" t="n">
        <x:v>26.7</x:v>
      </x:c>
      <x:c r="K12" s="25" t="n">
        <x:v>33.1</x:v>
      </x:c>
      <x:c r="L12" s="22" t="str">
        <x:v>Industrial polymers</x:v>
      </x:c>
      <x:c r="M12" s="22" t="str">
        <x:v>MV Al Maha</x:v>
      </x:c>
      <x:c r="N12" s="28" t="n">
        <x:v>305000</x:v>
      </x:c>
      <x:c r="O12" s="22" t="str">
        <x:v>Ocean</x:v>
      </x:c>
      <x:c r="P12" s="31" t="n">
        <x:v>31</x:v>
      </x:c>
      <x:c r="Q12" s="34" t="n">
        <x:v>2909</x:v>
      </x:c>
      <x:c r="R12" s="37" t="n">
        <x:v>46294.75</x:v>
      </x:c>
      <x:c r="S12" s="22" t="str">
        <x:v>Monitoring</x:v>
      </x:c>
      <x:c r="T12" s="22" t="str">
        <x:v>No</x:v>
      </x:c>
      <x:c r="U12" s="40" t="str">
        <x:v>Suez transit dependency</x:v>
      </x:c>
      <x:c r="V12" s="22" t="str">
        <x:v>No</x:v>
      </x:c>
    </x:row>
    <x:row r="13" ht="15" hidden="0" customHeight="1">
      <x:c r="A13" s="22" t="str">
        <x:v>SF-2044</x:v>
      </x:c>
      <x:c r="B13" s="22" t="str">
        <x:v>Valencia</x:v>
      </x:c>
      <x:c r="C13" s="22" t="str">
        <x:v>ESVLC</x:v>
      </x:c>
      <x:c r="D13" s="25" t="n">
        <x:v>39.44</x:v>
      </x:c>
      <x:c r="E13" s="25" t="n">
        <x:v>-0.31</x:v>
      </x:c>
      <x:c r="F13" s="25" t="str">
        <x:v>New York</x:v>
      </x:c>
      <x:c r="G13" s="25" t="str">
        <x:v>USNYC</x:v>
      </x:c>
      <x:c r="H13" s="25" t="n">
        <x:v>40.67</x:v>
      </x:c>
      <x:c r="I13" s="25" t="n">
        <x:v>-74.05</x:v>
      </x:c>
      <x:c r="J13" s="25" t="n">
        <x:v>38.2</x:v>
      </x:c>
      <x:c r="K13" s="25" t="n">
        <x:v>-37.9</x:v>
      </x:c>
      <x:c r="L13" s="22" t="str">
        <x:v>Chilled dairy (0–4 °C)</x:v>
      </x:c>
      <x:c r="M13" s="22" t="str">
        <x:v>MV Turia Reefer</x:v>
      </x:c>
      <x:c r="N13" s="28" t="n">
        <x:v>185000</x:v>
      </x:c>
      <x:c r="O13" s="22" t="str">
        <x:v>Ocean</x:v>
      </x:c>
      <x:c r="P13" s="31" t="n">
        <x:v>27</x:v>
      </x:c>
      <x:c r="Q13" s="34" t="n">
        <x:v>3284</x:v>
      </x:c>
      <x:c r="R13" s="37" t="n">
        <x:v>46286.291666666664</x:v>
      </x:c>
      <x:c r="S13" s="22" t="str">
        <x:v>On track</x:v>
      </x:c>
      <x:c r="T13" s="22" t="str">
        <x:v>Yes</x:v>
      </x:c>
      <x:c r="U13" s="40" t="str">
        <x:v>Continuous 0–4 °C custody</x:v>
      </x:c>
      <x:c r="V13" s="22" t="str">
        <x:v>No</x:v>
      </x:c>
    </x:row>
    <x:row r="14" ht="15" hidden="0" customHeight="1">
      <x:c r="A14" s="23" t="str">
        <x:v>SF-2045</x:v>
      </x:c>
      <x:c r="B14" s="23" t="str">
        <x:v>Chennai</x:v>
      </x:c>
      <x:c r="C14" s="23" t="str">
        <x:v>INMAA</x:v>
      </x:c>
      <x:c r="D14" s="26" t="n">
        <x:v>13.09</x:v>
      </x:c>
      <x:c r="E14" s="26" t="n">
        <x:v>80.29</x:v>
      </x:c>
      <x:c r="F14" s="26" t="str">
        <x:v>Durban</x:v>
      </x:c>
      <x:c r="G14" s="26" t="str">
        <x:v>ZADUR</x:v>
      </x:c>
      <x:c r="H14" s="26" t="n">
        <x:v>-29.87</x:v>
      </x:c>
      <x:c r="I14" s="26" t="n">
        <x:v>31.02</x:v>
      </x:c>
      <x:c r="J14" s="26" t="n">
        <x:v>-3.4</x:v>
      </x:c>
      <x:c r="K14" s="26" t="n">
        <x:v>63.8</x:v>
      </x:c>
      <x:c r="L14" s="23" t="str">
        <x:v>Textiles</x:v>
      </x:c>
      <x:c r="M14" s="23" t="str">
        <x:v>MV Coromandel</x:v>
      </x:c>
      <x:c r="N14" s="29" t="n">
        <x:v>96000</x:v>
      </x:c>
      <x:c r="O14" s="23" t="str">
        <x:v>Ocean</x:v>
      </x:c>
      <x:c r="P14" s="32" t="n">
        <x:v>9</x:v>
      </x:c>
      <x:c r="Q14" s="35" t="n">
        <x:v>3843</x:v>
      </x:c>
      <x:c r="R14" s="38" t="n">
        <x:v>46300.416666666664</x:v>
      </x:c>
      <x:c r="S14" s="23" t="str">
        <x:v>On track</x:v>
      </x:c>
      <x:c r="T14" s="23" t="str">
        <x:v>No</x:v>
      </x:c>
      <x:c r="U14" s="41" t="str">
        <x:v>None</x:v>
      </x:c>
      <x:c r="V14" s="23" t="str">
        <x:v>No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6778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2">
      <x:c r="A2" s="1" t="str">
        <x:v>Methodology and data notes</x:v>
      </x:c>
      <x:c r="B2" s="76"/>
    </x:row>
    <x:row r="3">
      <x:c r="A3" s="76"/>
      <x:c r="B3" s="76"/>
    </x:row>
    <x:row r="4" ht="15" hidden="0" customHeight="1">
      <x:c r="A4" s="66" t="str">
        <x:v>Item</x:v>
      </x:c>
      <x:c r="B4" s="66" t="str">
        <x:v>Definition</x:v>
      </x:c>
    </x:row>
    <x:row r="5" ht="15" hidden="0" customHeight="1">
      <x:c r="A5" s="70" t="str">
        <x:v>Purpose</x:v>
      </x:c>
      <x:c r="B5" s="73" t="str">
        <x:v>Judge-facing export of the routes and recovery data used by the Sentinel Flash hackathon application.</x:v>
      </x:c>
    </x:row>
    <x:row r="6" ht="15" hidden="0" customHeight="1">
      <x:c r="A6" s="71" t="str">
        <x:v>Data classification</x:v>
      </x:c>
      <x:c r="B6" s="74" t="str">
        <x:v>Seeded project records and model-generated estimates. This is a project dataset, not observed carrier or sensor data.</x:v>
      </x:c>
    </x:row>
    <x:row r="7" ht="15" hidden="0" customHeight="1">
      <x:c r="A7" s="71" t="str">
        <x:v>Baseline distance</x:v>
      </x:c>
      <x:c r="B7" s="74" t="str">
        <x:v>Great-circle distance between origin and destination using an Earth radius of 3,440.065 nautical miles.</x:v>
      </x:c>
    </x:row>
    <x:row r="8" ht="15" hidden="0" customHeight="1">
      <x:c r="A8" s="71" t="str">
        <x:v>Route distance</x:v>
      </x:c>
      <x:c r="B8" s="74" t="str">
        <x:v>Baseline distance multiplied by the implemented factor: reroute 1.18, re-speed 0.98, switch mode 1.08.</x:v>
      </x:c>
    </x:row>
    <x:row r="9" ht="15" hidden="0" customHeight="1">
      <x:c r="A9" s="71" t="str">
        <x:v>Route fuel delta</x:v>
      </x:c>
      <x:c r="B9" s="74" t="str">
        <x:v>Absolute distance change multiplied by 0.045 tonnes per nautical mile.</x:v>
      </x:c>
    </x:row>
    <x:row r="10" ht="15" hidden="0" customHeight="1">
      <x:c r="A10" s="71" t="str">
        <x:v>Route ETA delta</x:v>
      </x:c>
      <x:c r="B10" s="74" t="str">
        <x:v>Positive extra route distance divided by 16 knots and 24 hours, rounded to one decimal day.</x:v>
      </x:c>
    </x:row>
    <x:row r="11" ht="24" hidden="0" customHeight="1">
      <x:c r="A11" s="71" t="str">
        <x:v>Fuel model</x:v>
      </x:c>
      <x:c r="B11" s="74" t="str">
        <x:v>Baseline consumption is 45 tonnes/day at 16 knots. Re-speed consumption uses the IMO cube relationship between speed and propulsion power.</x:v>
      </x:c>
    </x:row>
    <x:row r="12" ht="15" hidden="0" customHeight="1">
      <x:c r="A12" s="71" t="str">
        <x:v>Bunker price</x:v>
      </x:c>
      <x:c r="B12" s="74" t="str">
        <x:v>$635 per tonne default, based on the VLSFO benchmark cited by UNCTAD. It can be updated through the server environment.</x:v>
      </x:c>
    </x:row>
    <x:row r="13" ht="15" hidden="0" customHeight="1">
      <x:c r="A13" s="71" t="str">
        <x:v>Decision fuel</x:v>
      </x:c>
      <x:c r="B13" s="74" t="str">
        <x:v>Positive difference between estimated option-voyage fuel and baseline-voyage fuel.</x:v>
      </x:c>
    </x:row>
    <x:row r="14" ht="15" hidden="0" customHeight="1">
      <x:c r="A14" s="71" t="str">
        <x:v>Decision cost</x:v>
      </x:c>
      <x:c r="B14" s="74" t="str">
        <x:v>Fuel cost plus extra vessel time, option-specific handling, cold-chain protection and cargo risk reserve.</x:v>
      </x:c>
    </x:row>
    <x:row r="15" ht="15" hidden="0" customHeight="1">
      <x:c r="A15" s="71" t="str">
        <x:v>Do-nothing cost</x:v>
      </x:c>
      <x:c r="B15" s="74" t="str">
        <x:v>Estimated delay vessel time plus cargo exposure and, where applicable, cold-chain exposure.</x:v>
      </x:c>
    </x:row>
    <x:row r="16" ht="15" hidden="0" customHeight="1">
      <x:c r="A16" s="71" t="str">
        <x:v>Policy thresholds</x:v>
      </x:c>
      <x:c r="B16" s="74" t="str">
        <x:v>Human review above $1,000,000 cargo value, above 7 days of added delay, above 1,000 tonnes of fuel, or for cold-chain cargo.</x:v>
      </x:c>
    </x:row>
    <x:row r="17" ht="15" hidden="0" customHeight="1">
      <x:c r="A17" s="71" t="str">
        <x:v>Cold-chain rule</x:v>
      </x:c>
      <x:c r="B17" s="74" t="str">
        <x:v>Re-speed is refused for temperature-controlled shipments.</x:v>
      </x:c>
    </x:row>
    <x:row r="18" ht="24" hidden="0" customHeight="1">
      <x:c r="A18" s="71" t="str">
        <x:v>Selected plan</x:v>
      </x:c>
      <x:c r="B18" s="74" t="str">
        <x:v>The model selects the lowest combined score of estimated cost, delay and remaining risk among options allowed by safety rules.</x:v>
      </x:c>
    </x:row>
    <x:row r="19" ht="24" hidden="0" customHeight="1">
      <x:c r="A19" s="71" t="str">
        <x:v>Live behavior</x:v>
      </x:c>
      <x:c r="B19" s="74" t="str">
        <x:v>Gemini can provide live reasoning, but Sentinel recalculates cost, fuel, delay and risk with the same route estimator before applying policy.</x:v>
      </x:c>
    </x:row>
    <x:row r="20" ht="15" hidden="0" customHeight="1">
      <x:c r="A20" s="71" t="str">
        <x:v>External source: cost components</x:v>
      </x:c>
      <x:c r="B20" s="74" t="str">
        <x:v>https://unctad.org/system/files/official-document/rmt2025ch3_en.pdf</x:v>
      </x:c>
    </x:row>
    <x:row r="21" ht="15" hidden="0" customHeight="1">
      <x:c r="A21" s="71" t="str">
        <x:v>External source: fuel benchmark</x:v>
      </x:c>
      <x:c r="B21" s="74" t="str">
        <x:v>https://unctad.org/system/files/official-document/rmt2023_en.pdf</x:v>
      </x:c>
    </x:row>
    <x:row r="22" ht="15" hidden="0" customHeight="1">
      <x:c r="A22" s="71" t="str">
        <x:v>External source: speed and fuel</x:v>
      </x:c>
      <x:c r="B22" s="74" t="str">
        <x:v>https://greenvoyage2050.imo.org/pdf/energy-efficiency-technologies-information-portal/</x:v>
      </x:c>
    </x:row>
    <x:row r="23" ht="15" hidden="0" customHeight="1">
      <x:c r="A23" s="71" t="str">
        <x:v>Source: shipments</x:v>
      </x:c>
      <x:c r="B23" s="74" t="str">
        <x:v>https://github.com/ArnavBansal01/Sentinel/blob/master/backend/src/shipments/seed.ts</x:v>
      </x:c>
    </x:row>
    <x:row r="24" ht="15" hidden="0" customHeight="1">
      <x:c r="A24" s="71" t="str">
        <x:v>Source: decision estimates</x:v>
      </x:c>
      <x:c r="B24" s="74" t="str">
        <x:v>https://github.com/ArnavBansal01/Sentinel/blob/master/backend/src/agents/decide/decideAgent.ts</x:v>
      </x:c>
    </x:row>
    <x:row r="25" ht="15" hidden="0" customHeight="1">
      <x:c r="A25" s="71" t="str">
        <x:v>Source: route calculations</x:v>
      </x:c>
      <x:c r="B25" s="74" t="str">
        <x:v>https://github.com/ArnavBansal01/Sentinel/blob/master/backend/src/routing/routeEngine.ts</x:v>
      </x:c>
    </x:row>
    <x:row r="26" ht="15" hidden="0" customHeight="1">
      <x:c r="A26" s="72" t="str">
        <x:v>Source: policy rules</x:v>
      </x:c>
      <x:c r="B26" s="75" t="str">
        <x:v>https://github.com/ArnavBansal01/Sentinel/blob/master/backend/src/policy/policyEngine.ts</x:v>
      </x:c>
    </x:row>
  </x:sheetData>
  <x:pageMargins left="0.7" right="0.7" top="0.75" bottom="0.75" header="0.3" footer="0.3"/>
</x:worksheet>
</file>